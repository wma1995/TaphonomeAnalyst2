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 tabRatio="500"/>
  </bookViews>
  <sheets>
    <sheet name="geochemistry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<sst xmlns="http://schemas.openxmlformats.org/spreadsheetml/2006/main" count="85" uniqueCount="62">
  <si>
    <t>No.</t>
  </si>
  <si>
    <t xml:space="preserve"> Cr (ppm)</t>
  </si>
  <si>
    <t xml:space="preserve"> Mn  (ppm)</t>
  </si>
  <si>
    <t>Co   (ppm)</t>
  </si>
  <si>
    <t xml:space="preserve"> Ni   (ppm)</t>
  </si>
  <si>
    <t xml:space="preserve">Cu  (ppm) </t>
  </si>
  <si>
    <t xml:space="preserve">Zn  (ppm)  </t>
  </si>
  <si>
    <t xml:space="preserve">Ga  (ppm) </t>
  </si>
  <si>
    <t xml:space="preserve">Sr  (ppm)  </t>
  </si>
  <si>
    <t xml:space="preserve">Ba  (ppm) </t>
  </si>
  <si>
    <t>B  (ppm)</t>
  </si>
  <si>
    <t xml:space="preserve"> Fe/%</t>
  </si>
  <si>
    <t>Mg/%</t>
  </si>
  <si>
    <t>Ca/%</t>
  </si>
  <si>
    <t>Ca*/%</t>
  </si>
  <si>
    <t>Al/%</t>
  </si>
  <si>
    <t>Na/%</t>
  </si>
  <si>
    <t>K/%</t>
  </si>
  <si>
    <t>N/%</t>
  </si>
  <si>
    <t>Si/%</t>
  </si>
  <si>
    <t>S/%</t>
  </si>
  <si>
    <t>TOC/%</t>
  </si>
  <si>
    <t>(Mg/Al2O3)*100</t>
  </si>
  <si>
    <t>Sr/Ba</t>
  </si>
  <si>
    <t>Mg/Ca</t>
  </si>
  <si>
    <t>B/Ga</t>
  </si>
  <si>
    <t>CaO/(MgO·Al2O3)</t>
  </si>
  <si>
    <t>Fe/Mn</t>
  </si>
  <si>
    <t>-(Al+Fe/Ca+Mg)</t>
  </si>
  <si>
    <t>TOC/N</t>
  </si>
  <si>
    <t>Si/Al</t>
  </si>
  <si>
    <t>CIA</t>
  </si>
  <si>
    <t>CIX</t>
  </si>
  <si>
    <t>-Ni/Al2O3</t>
  </si>
  <si>
    <t>-Cr/Al2O3</t>
  </si>
  <si>
    <t>-Ni/Co</t>
  </si>
  <si>
    <t>Cu/Zn</t>
  </si>
  <si>
    <t>Beigou1</t>
  </si>
  <si>
    <t>BDL</t>
  </si>
  <si>
    <t>Beigou2</t>
  </si>
  <si>
    <t>Beigou3</t>
  </si>
  <si>
    <t>Donggou1</t>
  </si>
  <si>
    <t>Donggou2</t>
  </si>
  <si>
    <t>Donggou3</t>
  </si>
  <si>
    <t>Donggouli1</t>
  </si>
  <si>
    <t>Donggouli2</t>
  </si>
  <si>
    <t>Donggouli3</t>
  </si>
  <si>
    <t>BDl</t>
  </si>
  <si>
    <t>Yujiagou north1α</t>
  </si>
  <si>
    <t>Yujiagou north1β</t>
  </si>
  <si>
    <t>Yujiagou north1γ</t>
  </si>
  <si>
    <t>Yujiagou north2α</t>
  </si>
  <si>
    <r>
      <rPr>
        <sz val="12"/>
        <color theme="1"/>
        <rFont val="Cambria"/>
        <charset val="134"/>
      </rPr>
      <t>Yujiagou north2</t>
    </r>
    <r>
      <rPr>
        <sz val="12"/>
        <color theme="1"/>
        <rFont val="Calibri"/>
        <charset val="161"/>
      </rPr>
      <t>β</t>
    </r>
  </si>
  <si>
    <t>Yujiagou north3α</t>
  </si>
  <si>
    <t>Yujiagou north3β</t>
  </si>
  <si>
    <t>Yujiagou south1α</t>
  </si>
  <si>
    <t>Zhouyingzi1α</t>
  </si>
  <si>
    <t>Zhouyingzi1β</t>
  </si>
  <si>
    <t>Zhouyingzi2α</t>
  </si>
  <si>
    <r>
      <rPr>
        <sz val="12"/>
        <color theme="1"/>
        <rFont val="Cambria"/>
        <charset val="134"/>
      </rPr>
      <t>Zhouyingzi2</t>
    </r>
    <r>
      <rPr>
        <sz val="12"/>
        <color theme="1"/>
        <rFont val="Calibri"/>
        <charset val="161"/>
      </rPr>
      <t>β</t>
    </r>
  </si>
  <si>
    <t>Zhouyingzi3α</t>
  </si>
  <si>
    <r>
      <rPr>
        <sz val="12"/>
        <color theme="1"/>
        <rFont val="Cambria"/>
        <charset val="134"/>
      </rPr>
      <t>Zhouyingzi3</t>
    </r>
    <r>
      <rPr>
        <sz val="12"/>
        <color theme="1"/>
        <rFont val="Calibri"/>
        <charset val="161"/>
      </rPr>
      <t>β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</si>
</sst>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_);[Red]\(0.00\)"/>
    <numFmt numFmtId="178" formatCode="0.00_ "/>
  </numFmts>
  <fonts count="34">
    <font>
      <sz val="12"/>
      <color theme="1"/>
      <name val="宋体"/>
      <charset val="134"/>
      <scheme val="minor"/>
    </font>
    <font>
      <sz val="12"/>
      <color theme="1"/>
      <name val="Cambria"/>
      <charset val="134"/>
    </font>
    <font>
      <sz val="12"/>
      <color theme="1"/>
      <name val="Cambria"/>
      <charset val="134"/>
    </font>
    <font>
      <sz val="12"/>
      <color rgb="FFC00000"/>
      <name val="Cambria"/>
      <charset val="134"/>
    </font>
    <font>
      <sz val="12"/>
      <color theme="9" tint="-0.249977111117893"/>
      <name val="Cambria"/>
      <charset val="134"/>
    </font>
    <font>
      <sz val="12"/>
      <color rgb="FF00B0F0"/>
      <name val="Cambria"/>
      <charset val="134"/>
    </font>
    <font>
      <sz val="12"/>
      <color rgb="FFFFC000"/>
      <name val="Cambria"/>
      <charset val="134"/>
    </font>
    <font>
      <sz val="12"/>
      <color rgb="FF00B050"/>
      <name val="Cambria"/>
      <charset val="134"/>
    </font>
    <font>
      <sz val="12"/>
      <color rgb="FF7030A0"/>
      <name val="Cambria"/>
      <charset val="134"/>
    </font>
    <font>
      <sz val="12"/>
      <color rgb="FFC00000"/>
      <name val="宋体"/>
      <charset val="134"/>
      <scheme val="minor"/>
    </font>
    <font>
      <sz val="12"/>
      <color theme="9" tint="-0.249977111117893"/>
      <name val="宋体"/>
      <charset val="134"/>
      <scheme val="minor"/>
    </font>
    <font>
      <sz val="12"/>
      <color rgb="FF00B0F0"/>
      <name val="宋体"/>
      <charset val="134"/>
      <scheme val="minor"/>
    </font>
    <font>
      <sz val="12"/>
      <color rgb="FFFFC000"/>
      <name val="宋体"/>
      <charset val="134"/>
      <scheme val="minor"/>
    </font>
    <font>
      <sz val="12"/>
      <color rgb="FF00B050"/>
      <name val="宋体"/>
      <charset val="134"/>
      <scheme val="minor"/>
    </font>
    <font>
      <sz val="12"/>
      <color rgb="FF7030A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5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4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4" borderId="4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46">
    <xf numFmtId="0" fontId="0" fillId="0" borderId="0" xfId="0"/>
    <xf numFmtId="49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left"/>
    </xf>
    <xf numFmtId="177" fontId="1" fillId="0" borderId="0" xfId="0" applyNumberFormat="1" applyFont="1" applyAlignment="1">
      <alignment horizontal="center"/>
    </xf>
    <xf numFmtId="177" fontId="0" fillId="0" borderId="0" xfId="1" applyNumberFormat="1" applyFont="1" applyAlignment="1"/>
    <xf numFmtId="177" fontId="1" fillId="0" borderId="0" xfId="1" applyNumberFormat="1" applyFont="1" applyAlignment="1">
      <alignment horizontal="center"/>
    </xf>
    <xf numFmtId="177" fontId="1" fillId="0" borderId="0" xfId="1" applyNumberFormat="1" applyFont="1" applyAlignment="1">
      <alignment horizontal="right" vertical="center"/>
    </xf>
    <xf numFmtId="177" fontId="1" fillId="0" borderId="0" xfId="1" applyNumberFormat="1" applyFont="1" applyAlignment="1">
      <alignment horizontal="right"/>
    </xf>
    <xf numFmtId="177" fontId="2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177" fontId="5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178" fontId="7" fillId="0" borderId="0" xfId="0" applyNumberFormat="1" applyFont="1" applyAlignment="1">
      <alignment horizontal="center"/>
    </xf>
    <xf numFmtId="177" fontId="7" fillId="0" borderId="0" xfId="0" applyNumberFormat="1" applyFont="1" applyAlignment="1">
      <alignment horizontal="center"/>
    </xf>
    <xf numFmtId="178" fontId="8" fillId="0" borderId="0" xfId="0" applyNumberFormat="1" applyFont="1" applyAlignment="1">
      <alignment horizontal="center"/>
    </xf>
    <xf numFmtId="17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177" fontId="2" fillId="0" borderId="0" xfId="0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7" fontId="1" fillId="0" borderId="0" xfId="1" applyNumberFormat="1" applyFont="1" applyAlignment="1">
      <alignment horizontal="left" vertical="center"/>
    </xf>
    <xf numFmtId="177" fontId="0" fillId="0" borderId="0" xfId="0" applyNumberFormat="1" applyAlignment="1">
      <alignment horizontal="left"/>
    </xf>
    <xf numFmtId="177" fontId="3" fillId="0" borderId="0" xfId="0" applyNumberFormat="1" applyFont="1" applyAlignment="1">
      <alignment horizontal="left"/>
    </xf>
    <xf numFmtId="177" fontId="9" fillId="0" borderId="0" xfId="0" applyNumberFormat="1" applyFont="1" applyAlignment="1">
      <alignment horizontal="left"/>
    </xf>
    <xf numFmtId="177" fontId="10" fillId="0" borderId="0" xfId="0" applyNumberFormat="1" applyFont="1" applyAlignment="1">
      <alignment horizontal="left"/>
    </xf>
    <xf numFmtId="177" fontId="11" fillId="0" borderId="0" xfId="0" applyNumberFormat="1" applyFont="1" applyAlignment="1">
      <alignment horizontal="left"/>
    </xf>
    <xf numFmtId="178" fontId="11" fillId="0" borderId="0" xfId="0" applyNumberFormat="1" applyFont="1" applyAlignment="1">
      <alignment horizontal="left"/>
    </xf>
    <xf numFmtId="177" fontId="12" fillId="0" borderId="0" xfId="0" applyNumberFormat="1" applyFont="1" applyAlignment="1">
      <alignment horizontal="left"/>
    </xf>
    <xf numFmtId="178" fontId="13" fillId="0" borderId="0" xfId="0" applyNumberFormat="1" applyFont="1" applyAlignment="1">
      <alignment horizontal="left"/>
    </xf>
    <xf numFmtId="177" fontId="7" fillId="0" borderId="0" xfId="0" applyNumberFormat="1" applyFont="1" applyAlignment="1">
      <alignment horizontal="left"/>
    </xf>
    <xf numFmtId="178" fontId="14" fillId="0" borderId="0" xfId="0" applyNumberFormat="1" applyFont="1" applyAlignment="1">
      <alignment horizontal="left"/>
    </xf>
    <xf numFmtId="177" fontId="2" fillId="0" borderId="0" xfId="0" applyNumberFormat="1" applyFont="1" applyAlignment="1">
      <alignment horizontal="left"/>
    </xf>
    <xf numFmtId="177" fontId="0" fillId="0" borderId="0" xfId="0" applyNumberForma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178" fontId="8" fillId="0" borderId="0" xfId="0" applyNumberFormat="1" applyFont="1" applyAlignment="1">
      <alignment horizontal="left"/>
    </xf>
    <xf numFmtId="177" fontId="1" fillId="0" borderId="0" xfId="0" applyNumberFormat="1" applyFont="1" applyAlignment="1">
      <alignment horizontal="left"/>
    </xf>
    <xf numFmtId="177" fontId="0" fillId="0" borderId="0" xfId="1" applyNumberFormat="1" applyFont="1" applyAlignment="1">
      <alignment horizontal="left"/>
    </xf>
    <xf numFmtId="177" fontId="1" fillId="0" borderId="0" xfId="1" applyNumberFormat="1" applyFont="1" applyAlignment="1">
      <alignment horizontal="left"/>
    </xf>
    <xf numFmtId="177" fontId="4" fillId="0" borderId="0" xfId="0" applyNumberFormat="1" applyFont="1" applyAlignment="1">
      <alignment horizontal="left" vertical="center"/>
    </xf>
    <xf numFmtId="177" fontId="5" fillId="0" borderId="0" xfId="0" applyNumberFormat="1" applyFont="1" applyAlignment="1">
      <alignment horizontal="left"/>
    </xf>
    <xf numFmtId="178" fontId="5" fillId="0" borderId="0" xfId="0" applyNumberFormat="1" applyFont="1" applyAlignment="1">
      <alignment horizontal="left"/>
    </xf>
    <xf numFmtId="177" fontId="6" fillId="0" borderId="0" xfId="0" applyNumberFormat="1" applyFont="1" applyAlignment="1">
      <alignment horizontal="left"/>
    </xf>
    <xf numFmtId="178" fontId="7" fillId="0" borderId="0" xfId="0" applyNumberFormat="1" applyFont="1" applyAlignment="1">
      <alignment horizontal="left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7"/>
  <sheetViews>
    <sheetView tabSelected="1" zoomScale="70" zoomScaleNormal="70" workbookViewId="0">
      <selection activeCell="E37" sqref="E37"/>
    </sheetView>
  </sheetViews>
  <sheetFormatPr defaultColWidth="10.875" defaultRowHeight="15"/>
  <cols>
    <col min="1" max="1" width="18.25" style="2" customWidth="1"/>
    <col min="2" max="2" width="8.125" style="3" customWidth="1"/>
    <col min="3" max="3" width="9.25" style="3" customWidth="1"/>
    <col min="4" max="4" width="8.25" style="3" customWidth="1"/>
    <col min="5" max="5" width="8.125" style="3" customWidth="1"/>
    <col min="6" max="6" width="8.25" style="3" customWidth="1"/>
    <col min="7" max="7" width="9.25" style="3" customWidth="1"/>
    <col min="8" max="8" width="8.25" style="3" customWidth="1"/>
    <col min="9" max="9" width="9.25" style="3" customWidth="1"/>
    <col min="10" max="10" width="9.375" style="3" customWidth="1"/>
    <col min="11" max="11" width="9" style="3" customWidth="1"/>
    <col min="12" max="12" width="8.125" style="4" customWidth="1"/>
    <col min="13" max="13" width="8.125" style="5" customWidth="1"/>
    <col min="14" max="14" width="6.5" style="5" customWidth="1"/>
    <col min="15" max="15" width="8.5" style="6" customWidth="1"/>
    <col min="16" max="16" width="7.75" style="7" customWidth="1"/>
    <col min="17" max="17" width="7.875" style="5" customWidth="1"/>
    <col min="18" max="18" width="6.75" style="5" customWidth="1"/>
    <col min="19" max="19" width="6.875" style="3" customWidth="1"/>
    <col min="20" max="20" width="9.5" style="3" customWidth="1"/>
    <col min="21" max="21" width="9" style="3" customWidth="1"/>
    <col min="22" max="22" width="10.75" style="8" customWidth="1"/>
    <col min="23" max="23" width="17.625" style="9" customWidth="1"/>
    <col min="24" max="25" width="15.25" style="9" customWidth="1"/>
    <col min="26" max="26" width="6.875" style="9" customWidth="1"/>
    <col min="27" max="27" width="16.125" style="10" customWidth="1"/>
    <col min="28" max="28" width="16.75" style="11" customWidth="1"/>
    <col min="29" max="29" width="33.625" style="12" customWidth="1"/>
    <col min="30" max="30" width="13.375" style="13" customWidth="1"/>
    <col min="31" max="31" width="14.5" style="14" customWidth="1"/>
    <col min="32" max="32" width="11.75" style="15" customWidth="1"/>
    <col min="33" max="33" width="11.875" style="15" customWidth="1"/>
    <col min="34" max="34" width="12.625" style="16" customWidth="1"/>
    <col min="35" max="35" width="9.75" style="16" customWidth="1"/>
    <col min="36" max="36" width="10" style="17" customWidth="1"/>
    <col min="37" max="37" width="10" style="3" customWidth="1"/>
    <col min="38" max="16384" width="10.875" style="18"/>
  </cols>
  <sheetData>
    <row r="1" s="1" customFormat="1" spans="1:37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1" t="s">
        <v>11</v>
      </c>
      <c r="M1" s="21" t="s">
        <v>12</v>
      </c>
      <c r="N1" s="21" t="s">
        <v>13</v>
      </c>
      <c r="O1" s="6" t="s">
        <v>14</v>
      </c>
      <c r="P1" s="6" t="s">
        <v>15</v>
      </c>
      <c r="Q1" s="22" t="s">
        <v>16</v>
      </c>
      <c r="R1" s="22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4" t="s">
        <v>22</v>
      </c>
      <c r="X1" s="24" t="s">
        <v>23</v>
      </c>
      <c r="Y1" s="24" t="s">
        <v>24</v>
      </c>
      <c r="Z1" s="25" t="s">
        <v>25</v>
      </c>
      <c r="AA1" s="26" t="s">
        <v>26</v>
      </c>
      <c r="AB1" s="27" t="s">
        <v>27</v>
      </c>
      <c r="AC1" s="28" t="s">
        <v>28</v>
      </c>
      <c r="AD1" s="29" t="s">
        <v>29</v>
      </c>
      <c r="AE1" s="30" t="s">
        <v>30</v>
      </c>
      <c r="AF1" s="31" t="s">
        <v>31</v>
      </c>
      <c r="AG1" s="31" t="s">
        <v>32</v>
      </c>
      <c r="AH1" s="32" t="s">
        <v>33</v>
      </c>
      <c r="AI1" s="32" t="s">
        <v>34</v>
      </c>
      <c r="AJ1" s="17" t="s">
        <v>35</v>
      </c>
      <c r="AK1" s="33" t="s">
        <v>36</v>
      </c>
    </row>
    <row r="2" spans="1:37">
      <c r="A2" s="2" t="s">
        <v>37</v>
      </c>
      <c r="B2" s="33">
        <v>66.8722404061539</v>
      </c>
      <c r="C2" s="33">
        <v>391.652549499826</v>
      </c>
      <c r="D2" s="33">
        <v>6.59500711972115</v>
      </c>
      <c r="E2" s="33">
        <v>23.3055014329941</v>
      </c>
      <c r="F2" s="33">
        <v>18.1467166793979</v>
      </c>
      <c r="G2" s="33">
        <v>20.6627218934911</v>
      </c>
      <c r="H2" s="33">
        <v>9.90301116000473</v>
      </c>
      <c r="I2" s="33">
        <v>79.7307206742053</v>
      </c>
      <c r="J2" s="33">
        <v>558.764960478582</v>
      </c>
      <c r="K2" s="34">
        <v>17.034</v>
      </c>
      <c r="L2" s="21">
        <v>0.920179302970381</v>
      </c>
      <c r="M2" s="21">
        <v>0.086972367809599</v>
      </c>
      <c r="N2" s="22">
        <v>0.353638796651102</v>
      </c>
      <c r="O2" s="6">
        <v>0.139195299258332</v>
      </c>
      <c r="P2" s="6">
        <v>6.70435794325988</v>
      </c>
      <c r="Q2" s="22">
        <v>1.1039555124279</v>
      </c>
      <c r="R2" s="22">
        <v>6.73653515274324</v>
      </c>
      <c r="S2" s="35">
        <v>0.06</v>
      </c>
      <c r="T2" s="35">
        <v>42.8</v>
      </c>
      <c r="U2" s="35" t="s">
        <v>38</v>
      </c>
      <c r="V2" s="20">
        <v>0.1</v>
      </c>
      <c r="W2" s="36">
        <f>((M2/24*40)/(P2/54*102))*100</f>
        <v>1.14463346359708</v>
      </c>
      <c r="X2" s="24">
        <f t="shared" ref="X2:X24" si="0">I2/J2</f>
        <v>0.142690981563905</v>
      </c>
      <c r="Y2" s="24">
        <f t="shared" ref="Y2:Y24" si="1">M2/N2</f>
        <v>0.245935594830693</v>
      </c>
      <c r="Z2" s="25">
        <f t="shared" ref="Z2:Z24" si="2">K2/H2</f>
        <v>1.72008288436503</v>
      </c>
      <c r="AA2" s="26">
        <f>((N2/40)*56)/((P2/54*102)*(M2/24)*40)</f>
        <v>0.269708287384084</v>
      </c>
      <c r="AB2" s="27">
        <f t="shared" ref="AB2:AB24" si="3">L2/C2</f>
        <v>0.00234947864924033</v>
      </c>
      <c r="AC2" s="28">
        <f t="shared" ref="AC2:AC24" si="4">-(P2+L2)/(N2+M2)</f>
        <v>-17.304457674291</v>
      </c>
      <c r="AD2" s="29">
        <f t="shared" ref="AD2:AD24" si="5">V2/S2</f>
        <v>1.66666666666667</v>
      </c>
      <c r="AE2" s="30">
        <f>-T2/P2</f>
        <v>-6.38390735730754</v>
      </c>
      <c r="AF2" s="31">
        <f t="shared" ref="AF2:AF24" si="6">(P2/54)*100/(P2/54+Q2/46+R2/78+O2/40)</f>
        <v>52.1659761657244</v>
      </c>
      <c r="AG2" s="31">
        <f t="shared" ref="AG2:AG24" si="7">100*(P2/54)/((P2/54)+(Q2/46)+(R2/78))</f>
        <v>52.9400327129558</v>
      </c>
      <c r="AH2" s="37">
        <f t="shared" ref="AH2:AH24" si="8">-E2/(P2/54*102)</f>
        <v>-1.84032635867852</v>
      </c>
      <c r="AI2" s="37">
        <f t="shared" ref="AI2:AI24" si="9">-B2/(P2/54*102)</f>
        <v>-5.28058780615222</v>
      </c>
      <c r="AJ2" s="17">
        <f t="shared" ref="AJ2:AJ24" si="10">E2/D2*-1</f>
        <v>-3.53380989738484</v>
      </c>
      <c r="AK2" s="3">
        <f t="shared" ref="AK2:AK24" si="11">F2/G2</f>
        <v>0.878234570108316</v>
      </c>
    </row>
    <row r="3" spans="1:37">
      <c r="A3" s="2" t="s">
        <v>39</v>
      </c>
      <c r="B3" s="33">
        <v>65.356031042488</v>
      </c>
      <c r="C3" s="33">
        <v>355.005837045743</v>
      </c>
      <c r="D3" s="33">
        <v>5.94080221988322</v>
      </c>
      <c r="E3" s="33">
        <v>23.3682853413588</v>
      </c>
      <c r="F3" s="33">
        <v>17.5530394832807</v>
      </c>
      <c r="G3" s="33">
        <v>19.2468043264503</v>
      </c>
      <c r="H3" s="33">
        <v>10.2182580001976</v>
      </c>
      <c r="I3" s="33">
        <v>91.9863757960238</v>
      </c>
      <c r="J3" s="33">
        <v>536.72343537953</v>
      </c>
      <c r="K3" s="34">
        <v>22.712</v>
      </c>
      <c r="L3" s="21">
        <v>0.955296389553884</v>
      </c>
      <c r="M3" s="21">
        <v>0.108158649311827</v>
      </c>
      <c r="N3" s="22">
        <v>0.435692487034218</v>
      </c>
      <c r="O3" s="6">
        <v>0.219850987795814</v>
      </c>
      <c r="P3" s="6">
        <v>6.53125783490147</v>
      </c>
      <c r="Q3" s="22">
        <v>1.15320815951665</v>
      </c>
      <c r="R3" s="22">
        <v>6.59960226024939</v>
      </c>
      <c r="S3" s="35">
        <v>0.05</v>
      </c>
      <c r="T3" s="35">
        <v>42.8</v>
      </c>
      <c r="U3" s="35" t="s">
        <v>38</v>
      </c>
      <c r="V3" s="20">
        <v>0.14</v>
      </c>
      <c r="W3" s="36">
        <f t="shared" ref="W3:W24" si="12">((M3/24*40)/(P3/54*102))*100</f>
        <v>1.46119024461089</v>
      </c>
      <c r="X3" s="24">
        <f t="shared" si="0"/>
        <v>0.171385055565867</v>
      </c>
      <c r="Y3" s="24">
        <f t="shared" si="1"/>
        <v>0.248245385290136</v>
      </c>
      <c r="Z3" s="25">
        <f t="shared" si="2"/>
        <v>2.22268805500514</v>
      </c>
      <c r="AA3" s="26">
        <f t="shared" ref="AA3:AA24" si="13">((N3/40)*56)/((P3/54*102)*(M3/24)*40)</f>
        <v>0.274280455065599</v>
      </c>
      <c r="AB3" s="27">
        <f t="shared" si="3"/>
        <v>0.00269093149989754</v>
      </c>
      <c r="AC3" s="28">
        <f t="shared" si="4"/>
        <v>-13.7658151727971</v>
      </c>
      <c r="AD3" s="29">
        <f t="shared" si="5"/>
        <v>2.8</v>
      </c>
      <c r="AE3" s="30">
        <f t="shared" ref="AE3:AE24" si="14">-T3/P3</f>
        <v>-6.55310218673149</v>
      </c>
      <c r="AF3" s="31">
        <f t="shared" si="6"/>
        <v>51.2224253521645</v>
      </c>
      <c r="AG3" s="31">
        <f t="shared" si="7"/>
        <v>52.4431400869706</v>
      </c>
      <c r="AH3" s="37">
        <f t="shared" si="8"/>
        <v>-1.89419029128039</v>
      </c>
      <c r="AI3" s="37">
        <f t="shared" si="9"/>
        <v>-5.297639842586</v>
      </c>
      <c r="AJ3" s="17">
        <f t="shared" si="10"/>
        <v>-3.93352353376581</v>
      </c>
      <c r="AK3" s="3">
        <f t="shared" si="11"/>
        <v>0.911997606748569</v>
      </c>
    </row>
    <row r="4" spans="1:37">
      <c r="A4" s="2" t="s">
        <v>40</v>
      </c>
      <c r="B4" s="33">
        <v>64.8629358887766</v>
      </c>
      <c r="C4" s="33">
        <v>351.488274384477</v>
      </c>
      <c r="D4" s="33">
        <v>5.83018771194451</v>
      </c>
      <c r="E4" s="33">
        <v>22.2770101743902</v>
      </c>
      <c r="F4" s="33">
        <v>17.3334246600217</v>
      </c>
      <c r="G4" s="33">
        <v>20.2641056422569</v>
      </c>
      <c r="H4" s="33">
        <v>9.71872247777676</v>
      </c>
      <c r="I4" s="33">
        <v>81.8911351788392</v>
      </c>
      <c r="J4" s="33">
        <v>549.998918409184</v>
      </c>
      <c r="K4" s="34">
        <v>17.034</v>
      </c>
      <c r="L4" s="21">
        <v>0.925205711427316</v>
      </c>
      <c r="M4" s="21">
        <v>0.0867858326203302</v>
      </c>
      <c r="N4" s="22">
        <v>0.393476151368509</v>
      </c>
      <c r="O4" s="6">
        <v>0.186322235027973</v>
      </c>
      <c r="P4" s="6">
        <v>6.78522849658047</v>
      </c>
      <c r="Q4" s="22">
        <v>1.13405211344427</v>
      </c>
      <c r="R4" s="22">
        <v>6.55022243509684</v>
      </c>
      <c r="S4" s="35">
        <v>0.05</v>
      </c>
      <c r="T4" s="35">
        <v>42.7</v>
      </c>
      <c r="U4" s="35" t="s">
        <v>38</v>
      </c>
      <c r="V4" s="20">
        <v>0.08</v>
      </c>
      <c r="W4" s="36">
        <f t="shared" si="12"/>
        <v>1.1285653048175</v>
      </c>
      <c r="X4" s="24">
        <f t="shared" si="0"/>
        <v>0.148893265855324</v>
      </c>
      <c r="Y4" s="24">
        <f t="shared" si="1"/>
        <v>0.220561862055653</v>
      </c>
      <c r="Z4" s="25">
        <f t="shared" si="2"/>
        <v>1.75269949717678</v>
      </c>
      <c r="AA4" s="26">
        <f t="shared" si="13"/>
        <v>0.297151534415946</v>
      </c>
      <c r="AB4" s="27">
        <f t="shared" si="3"/>
        <v>0.00263225199488526</v>
      </c>
      <c r="AC4" s="28">
        <f t="shared" si="4"/>
        <v>-16.0546419767986</v>
      </c>
      <c r="AD4" s="29">
        <f t="shared" si="5"/>
        <v>1.6</v>
      </c>
      <c r="AE4" s="30">
        <f t="shared" si="14"/>
        <v>-6.29308210055407</v>
      </c>
      <c r="AF4" s="31">
        <f t="shared" si="6"/>
        <v>52.587209521211</v>
      </c>
      <c r="AG4" s="31">
        <f t="shared" si="7"/>
        <v>53.6327581435942</v>
      </c>
      <c r="AH4" s="37">
        <f t="shared" si="8"/>
        <v>-1.73814504179756</v>
      </c>
      <c r="AI4" s="37">
        <f t="shared" si="9"/>
        <v>-5.06087619159584</v>
      </c>
      <c r="AJ4" s="17">
        <f t="shared" si="10"/>
        <v>-3.82097648910181</v>
      </c>
      <c r="AK4" s="3">
        <f t="shared" si="11"/>
        <v>0.855375754845857</v>
      </c>
    </row>
    <row r="5" spans="1:37">
      <c r="A5" s="2" t="s">
        <v>41</v>
      </c>
      <c r="B5" s="33">
        <v>67.521</v>
      </c>
      <c r="C5" s="33">
        <v>321.192</v>
      </c>
      <c r="D5" s="33">
        <v>5.116</v>
      </c>
      <c r="E5" s="33">
        <v>21.091</v>
      </c>
      <c r="F5" s="33">
        <v>17.984</v>
      </c>
      <c r="G5" s="33">
        <v>27.733</v>
      </c>
      <c r="H5" s="33">
        <v>8.432</v>
      </c>
      <c r="I5" s="33">
        <v>67.479</v>
      </c>
      <c r="J5" s="33">
        <v>389.641</v>
      </c>
      <c r="K5" s="34">
        <v>27.961</v>
      </c>
      <c r="L5" s="21">
        <v>1.11701203298128</v>
      </c>
      <c r="M5" s="21">
        <v>0.196612414748974</v>
      </c>
      <c r="N5" s="22">
        <v>0.465583831039032</v>
      </c>
      <c r="O5" s="6">
        <v>0.227074730446422</v>
      </c>
      <c r="P5" s="6">
        <v>6.02503910299421</v>
      </c>
      <c r="Q5" s="22">
        <v>0.874</v>
      </c>
      <c r="R5" s="22">
        <v>7.019</v>
      </c>
      <c r="S5" s="35">
        <v>0.05</v>
      </c>
      <c r="T5" s="35">
        <v>34.5</v>
      </c>
      <c r="U5" s="35" t="s">
        <v>38</v>
      </c>
      <c r="V5" s="20">
        <v>0.49</v>
      </c>
      <c r="W5" s="36">
        <f t="shared" si="12"/>
        <v>2.87934301271757</v>
      </c>
      <c r="X5" s="24">
        <f t="shared" si="0"/>
        <v>0.173182493628751</v>
      </c>
      <c r="Y5" s="24">
        <f t="shared" si="1"/>
        <v>0.422292188090379</v>
      </c>
      <c r="Z5" s="25">
        <f t="shared" si="2"/>
        <v>3.31605787476281</v>
      </c>
      <c r="AA5" s="26">
        <f t="shared" si="13"/>
        <v>0.17478330881522</v>
      </c>
      <c r="AB5" s="27">
        <f t="shared" si="3"/>
        <v>0.00347770814024409</v>
      </c>
      <c r="AC5" s="28">
        <f t="shared" si="4"/>
        <v>-10.7853996174148</v>
      </c>
      <c r="AD5" s="29">
        <f t="shared" si="5"/>
        <v>9.8</v>
      </c>
      <c r="AE5" s="30">
        <f t="shared" si="14"/>
        <v>-5.72610391571647</v>
      </c>
      <c r="AF5" s="31">
        <f t="shared" si="6"/>
        <v>49.3172592594024</v>
      </c>
      <c r="AG5" s="31">
        <f t="shared" si="7"/>
        <v>50.586596734285</v>
      </c>
      <c r="AH5" s="37">
        <f t="shared" si="8"/>
        <v>-1.85323669083953</v>
      </c>
      <c r="AI5" s="37">
        <f t="shared" si="9"/>
        <v>-5.93297589503466</v>
      </c>
      <c r="AJ5" s="17">
        <f t="shared" si="10"/>
        <v>-4.12255668491009</v>
      </c>
      <c r="AK5" s="3">
        <f t="shared" si="11"/>
        <v>0.648469332564093</v>
      </c>
    </row>
    <row r="6" spans="1:37">
      <c r="A6" s="2" t="s">
        <v>42</v>
      </c>
      <c r="B6" s="33">
        <v>56.4789088187384</v>
      </c>
      <c r="C6" s="33">
        <v>304.082756240038</v>
      </c>
      <c r="D6" s="33">
        <v>5.11325159679199</v>
      </c>
      <c r="E6" s="33">
        <v>20.0023651228455</v>
      </c>
      <c r="F6" s="33">
        <v>17.8292995489181</v>
      </c>
      <c r="G6" s="33">
        <v>33.4531167225852</v>
      </c>
      <c r="H6" s="33">
        <v>8.2379859074993</v>
      </c>
      <c r="I6" s="33">
        <v>66.7667257564873</v>
      </c>
      <c r="J6" s="33">
        <v>394.897490473417</v>
      </c>
      <c r="K6" s="34">
        <v>23.476</v>
      </c>
      <c r="L6" s="21">
        <v>1.25479543765838</v>
      </c>
      <c r="M6" s="21">
        <v>0.201345835296838</v>
      </c>
      <c r="N6" s="22">
        <v>0.566388400554892</v>
      </c>
      <c r="O6" s="6">
        <v>0.314997711527512</v>
      </c>
      <c r="P6" s="6">
        <v>5.92337935589325</v>
      </c>
      <c r="Q6" s="22">
        <v>1.09874660317891</v>
      </c>
      <c r="R6" s="22">
        <v>7.14682805544629</v>
      </c>
      <c r="S6" s="35">
        <v>0.07</v>
      </c>
      <c r="T6" s="35">
        <v>33.6</v>
      </c>
      <c r="U6" s="35" t="s">
        <v>38</v>
      </c>
      <c r="V6" s="20">
        <v>0.49</v>
      </c>
      <c r="W6" s="36">
        <f t="shared" si="12"/>
        <v>2.99926915521701</v>
      </c>
      <c r="X6" s="24">
        <f t="shared" si="0"/>
        <v>0.169073563056694</v>
      </c>
      <c r="Y6" s="24">
        <f t="shared" si="1"/>
        <v>0.355490746455221</v>
      </c>
      <c r="Z6" s="25">
        <f t="shared" si="2"/>
        <v>2.84972568096154</v>
      </c>
      <c r="AA6" s="26">
        <f t="shared" si="13"/>
        <v>0.211190815080091</v>
      </c>
      <c r="AB6" s="27">
        <f t="shared" si="3"/>
        <v>0.00412649323879406</v>
      </c>
      <c r="AC6" s="28">
        <f t="shared" si="4"/>
        <v>-9.34981723927956</v>
      </c>
      <c r="AD6" s="29">
        <f t="shared" si="5"/>
        <v>7</v>
      </c>
      <c r="AE6" s="30">
        <f t="shared" si="14"/>
        <v>-5.67243763757439</v>
      </c>
      <c r="AF6" s="31">
        <f t="shared" si="6"/>
        <v>47.0622553099462</v>
      </c>
      <c r="AG6" s="31">
        <f t="shared" si="7"/>
        <v>48.7079301513316</v>
      </c>
      <c r="AH6" s="37">
        <f t="shared" si="8"/>
        <v>-1.7877442557248</v>
      </c>
      <c r="AI6" s="37">
        <f t="shared" si="9"/>
        <v>-5.04789529589092</v>
      </c>
      <c r="AJ6" s="17">
        <f t="shared" si="10"/>
        <v>-3.9118679658546</v>
      </c>
      <c r="AK6" s="3">
        <f t="shared" si="11"/>
        <v>0.532963780229213</v>
      </c>
    </row>
    <row r="7" spans="1:37">
      <c r="A7" s="2" t="s">
        <v>43</v>
      </c>
      <c r="B7" s="33">
        <v>62.1007903738986</v>
      </c>
      <c r="C7" s="33">
        <v>331.963286203757</v>
      </c>
      <c r="D7" s="33">
        <v>5.52966710539539</v>
      </c>
      <c r="E7" s="33">
        <v>22.0607702036443</v>
      </c>
      <c r="F7" s="33">
        <v>18.9542034187856</v>
      </c>
      <c r="G7" s="33">
        <v>20.083447869625</v>
      </c>
      <c r="H7" s="33">
        <v>8.33896761504834</v>
      </c>
      <c r="I7" s="33">
        <v>68.9608400696736</v>
      </c>
      <c r="J7" s="33">
        <v>397.63347653787</v>
      </c>
      <c r="K7" s="34">
        <v>30.868</v>
      </c>
      <c r="L7" s="21">
        <v>1.11554125050461</v>
      </c>
      <c r="M7" s="21">
        <v>0.185740619547675</v>
      </c>
      <c r="N7" s="22">
        <v>0.331659838315511</v>
      </c>
      <c r="O7" s="6">
        <v>0.25780126248331</v>
      </c>
      <c r="P7" s="6">
        <v>6.34615045837757</v>
      </c>
      <c r="Q7" s="22">
        <v>0.544388780146321</v>
      </c>
      <c r="R7" s="22">
        <v>7.2503392768523</v>
      </c>
      <c r="S7" s="35">
        <v>0.05</v>
      </c>
      <c r="T7" s="35">
        <v>27.2</v>
      </c>
      <c r="U7" s="35" t="s">
        <v>38</v>
      </c>
      <c r="V7" s="20">
        <v>0.4</v>
      </c>
      <c r="W7" s="36">
        <f t="shared" si="12"/>
        <v>2.58249127606928</v>
      </c>
      <c r="X7" s="24">
        <f t="shared" si="0"/>
        <v>0.173428154666716</v>
      </c>
      <c r="Y7" s="24">
        <f t="shared" si="1"/>
        <v>0.560033498451442</v>
      </c>
      <c r="Z7" s="25">
        <f t="shared" si="2"/>
        <v>3.70165725842324</v>
      </c>
      <c r="AA7" s="26">
        <f t="shared" si="13"/>
        <v>0.125126271753584</v>
      </c>
      <c r="AB7" s="27">
        <f t="shared" si="3"/>
        <v>0.00336043561702753</v>
      </c>
      <c r="AC7" s="28">
        <f t="shared" si="4"/>
        <v>-14.4215019439647</v>
      </c>
      <c r="AD7" s="29">
        <f t="shared" si="5"/>
        <v>8</v>
      </c>
      <c r="AE7" s="30">
        <f t="shared" si="14"/>
        <v>-4.28606289409562</v>
      </c>
      <c r="AF7" s="31">
        <f t="shared" si="6"/>
        <v>51.3745483023682</v>
      </c>
      <c r="AG7" s="31">
        <f t="shared" si="7"/>
        <v>52.8639649146182</v>
      </c>
      <c r="AH7" s="37">
        <f t="shared" si="8"/>
        <v>-1.84036469996775</v>
      </c>
      <c r="AI7" s="37">
        <f t="shared" si="9"/>
        <v>-5.18060345986202</v>
      </c>
      <c r="AJ7" s="17">
        <f t="shared" si="10"/>
        <v>-3.98952952920424</v>
      </c>
      <c r="AK7" s="3">
        <f t="shared" si="11"/>
        <v>0.943772381208146</v>
      </c>
    </row>
    <row r="8" spans="1:37">
      <c r="A8" s="2" t="s">
        <v>44</v>
      </c>
      <c r="B8" s="33">
        <v>60.0046653087134</v>
      </c>
      <c r="C8" s="33">
        <v>321.026231285469</v>
      </c>
      <c r="D8" s="33">
        <v>5.59576426078118</v>
      </c>
      <c r="E8" s="33">
        <v>21.0584459045451</v>
      </c>
      <c r="F8" s="33">
        <v>17.4337471321767</v>
      </c>
      <c r="G8" s="33">
        <v>18.2333707025411</v>
      </c>
      <c r="H8" s="33">
        <v>10.4039498410482</v>
      </c>
      <c r="I8" s="33">
        <v>98.6813694523509</v>
      </c>
      <c r="J8" s="33">
        <v>552.73159589375</v>
      </c>
      <c r="K8" s="34">
        <v>20.567</v>
      </c>
      <c r="L8" s="21">
        <v>1.01894282771755</v>
      </c>
      <c r="M8" s="21">
        <v>0.181258174528005</v>
      </c>
      <c r="N8" s="22">
        <v>0.335005855764249</v>
      </c>
      <c r="O8" s="6">
        <v>0.052809197495579</v>
      </c>
      <c r="P8" s="6">
        <v>6.44304991368243</v>
      </c>
      <c r="Q8" s="22">
        <v>0.571240212252281</v>
      </c>
      <c r="R8" s="22">
        <v>7.44886856273508</v>
      </c>
      <c r="S8" s="35">
        <v>0.05</v>
      </c>
      <c r="T8" s="35">
        <v>41.8</v>
      </c>
      <c r="U8" s="35" t="s">
        <v>38</v>
      </c>
      <c r="V8" s="20">
        <v>0.39</v>
      </c>
      <c r="W8" s="36">
        <f t="shared" si="12"/>
        <v>2.48226671451713</v>
      </c>
      <c r="X8" s="24">
        <f t="shared" si="0"/>
        <v>0.178533975957691</v>
      </c>
      <c r="Y8" s="24">
        <f t="shared" si="1"/>
        <v>0.541059720029373</v>
      </c>
      <c r="Z8" s="25">
        <f t="shared" si="2"/>
        <v>1.97684536298456</v>
      </c>
      <c r="AA8" s="26">
        <f t="shared" si="13"/>
        <v>0.12756636334768</v>
      </c>
      <c r="AB8" s="27">
        <f t="shared" si="3"/>
        <v>0.00317401734941551</v>
      </c>
      <c r="AC8" s="28">
        <f t="shared" si="4"/>
        <v>-14.4538304114966</v>
      </c>
      <c r="AD8" s="29">
        <f t="shared" si="5"/>
        <v>7.8</v>
      </c>
      <c r="AE8" s="30">
        <f t="shared" si="14"/>
        <v>-6.48761076819128</v>
      </c>
      <c r="AF8" s="31">
        <f t="shared" si="6"/>
        <v>52.2049477981395</v>
      </c>
      <c r="AG8" s="31">
        <f t="shared" si="7"/>
        <v>52.5082608792393</v>
      </c>
      <c r="AH8" s="37">
        <f t="shared" si="8"/>
        <v>-1.73032789713665</v>
      </c>
      <c r="AI8" s="37">
        <f t="shared" si="9"/>
        <v>-4.93045625553997</v>
      </c>
      <c r="AJ8" s="17">
        <f t="shared" si="10"/>
        <v>-3.7632832483914</v>
      </c>
      <c r="AK8" s="3">
        <f t="shared" si="11"/>
        <v>0.95614504945852</v>
      </c>
    </row>
    <row r="9" spans="1:37">
      <c r="A9" s="2" t="s">
        <v>45</v>
      </c>
      <c r="B9" s="33">
        <v>57.803</v>
      </c>
      <c r="C9" s="33">
        <v>317.018</v>
      </c>
      <c r="D9" s="33">
        <v>6.316</v>
      </c>
      <c r="E9" s="33">
        <v>22.498</v>
      </c>
      <c r="F9" s="33">
        <v>17.342</v>
      </c>
      <c r="G9" s="33">
        <v>18.256</v>
      </c>
      <c r="H9" s="33">
        <v>10.52</v>
      </c>
      <c r="I9" s="33">
        <v>100.006</v>
      </c>
      <c r="J9" s="33">
        <v>574.322</v>
      </c>
      <c r="K9" s="34">
        <v>19.979</v>
      </c>
      <c r="L9" s="21">
        <v>1.01824673146746</v>
      </c>
      <c r="M9" s="21">
        <v>0.159135198064241</v>
      </c>
      <c r="N9" s="22">
        <v>0.335840024136485</v>
      </c>
      <c r="O9" s="6">
        <v>0.020890179770107</v>
      </c>
      <c r="P9" s="6">
        <v>6.79893719381931</v>
      </c>
      <c r="Q9" s="22">
        <v>0.549</v>
      </c>
      <c r="R9" s="22">
        <v>7.471</v>
      </c>
      <c r="S9" s="35">
        <v>0.05</v>
      </c>
      <c r="T9" s="35">
        <v>40</v>
      </c>
      <c r="U9" s="35" t="s">
        <v>38</v>
      </c>
      <c r="V9" s="20">
        <v>0.39</v>
      </c>
      <c r="W9" s="36">
        <f t="shared" si="12"/>
        <v>2.06522587360166</v>
      </c>
      <c r="X9" s="24">
        <f t="shared" si="0"/>
        <v>0.174128798827139</v>
      </c>
      <c r="Y9" s="24">
        <f t="shared" si="1"/>
        <v>0.473842266041431</v>
      </c>
      <c r="Z9" s="25">
        <f t="shared" si="2"/>
        <v>1.89914448669202</v>
      </c>
      <c r="AA9" s="26">
        <f t="shared" si="13"/>
        <v>0.138037806103524</v>
      </c>
      <c r="AB9" s="27">
        <f t="shared" si="3"/>
        <v>0.0032119524174257</v>
      </c>
      <c r="AC9" s="28">
        <f t="shared" si="4"/>
        <v>-15.7930812991619</v>
      </c>
      <c r="AD9" s="29">
        <f t="shared" si="5"/>
        <v>7.8</v>
      </c>
      <c r="AE9" s="30">
        <f t="shared" si="14"/>
        <v>-5.88327246740309</v>
      </c>
      <c r="AF9" s="31">
        <f t="shared" si="6"/>
        <v>53.7726901792429</v>
      </c>
      <c r="AG9" s="31">
        <f t="shared" si="7"/>
        <v>53.8928967501349</v>
      </c>
      <c r="AH9" s="37">
        <f t="shared" si="8"/>
        <v>-1.75184819962458</v>
      </c>
      <c r="AI9" s="37">
        <f t="shared" si="9"/>
        <v>-4.50093703808781</v>
      </c>
      <c r="AJ9" s="17">
        <f t="shared" si="10"/>
        <v>-3.56206459784674</v>
      </c>
      <c r="AK9" s="3">
        <f t="shared" si="11"/>
        <v>0.949934268185802</v>
      </c>
    </row>
    <row r="10" spans="1:37">
      <c r="A10" s="2" t="s">
        <v>46</v>
      </c>
      <c r="B10" s="33">
        <v>58.703</v>
      </c>
      <c r="C10" s="33">
        <v>319.201</v>
      </c>
      <c r="D10" s="33">
        <v>5.893</v>
      </c>
      <c r="E10" s="33">
        <v>21.431</v>
      </c>
      <c r="F10" s="33">
        <v>17.321</v>
      </c>
      <c r="G10" s="33">
        <v>19.072</v>
      </c>
      <c r="H10" s="33">
        <v>10.122</v>
      </c>
      <c r="I10" s="33">
        <v>99.091</v>
      </c>
      <c r="J10" s="33">
        <v>565.987</v>
      </c>
      <c r="K10" s="34">
        <v>20.101</v>
      </c>
      <c r="L10" s="21">
        <v>1.01857824479432</v>
      </c>
      <c r="M10" s="21">
        <v>0.165125793413572</v>
      </c>
      <c r="N10" s="22">
        <v>0.29813475853246</v>
      </c>
      <c r="O10" s="6">
        <v>0.000160650863065</v>
      </c>
      <c r="P10" s="6">
        <v>7.08746631346917</v>
      </c>
      <c r="Q10" s="22">
        <v>0.544</v>
      </c>
      <c r="R10" s="22">
        <v>7.471</v>
      </c>
      <c r="S10" s="35">
        <v>0.05</v>
      </c>
      <c r="T10" s="35">
        <v>41.8</v>
      </c>
      <c r="U10" s="20" t="s">
        <v>47</v>
      </c>
      <c r="V10" s="20">
        <v>0.38</v>
      </c>
      <c r="W10" s="36">
        <f t="shared" si="12"/>
        <v>2.05573082168551</v>
      </c>
      <c r="X10" s="24">
        <f t="shared" si="0"/>
        <v>0.175076459353307</v>
      </c>
      <c r="Y10" s="24">
        <f t="shared" si="1"/>
        <v>0.553862938445648</v>
      </c>
      <c r="Z10" s="25">
        <f t="shared" si="2"/>
        <v>1.98587235724165</v>
      </c>
      <c r="AA10" s="26">
        <f t="shared" si="13"/>
        <v>0.113286865593524</v>
      </c>
      <c r="AB10" s="27">
        <f t="shared" si="3"/>
        <v>0.00319102460454171</v>
      </c>
      <c r="AC10" s="28">
        <f t="shared" si="4"/>
        <v>-17.4978087907813</v>
      </c>
      <c r="AD10" s="29">
        <f t="shared" si="5"/>
        <v>7.6</v>
      </c>
      <c r="AE10" s="30">
        <f t="shared" si="14"/>
        <v>-5.89773526267947</v>
      </c>
      <c r="AF10" s="31">
        <f t="shared" si="6"/>
        <v>54.9478921108329</v>
      </c>
      <c r="AG10" s="31">
        <f t="shared" si="7"/>
        <v>54.948816032602</v>
      </c>
      <c r="AH10" s="37">
        <f t="shared" si="8"/>
        <v>-1.6008292706591</v>
      </c>
      <c r="AI10" s="37">
        <f t="shared" si="9"/>
        <v>-4.38493213921427</v>
      </c>
      <c r="AJ10" s="17">
        <f t="shared" si="10"/>
        <v>-3.63668759545223</v>
      </c>
      <c r="AK10" s="3">
        <f t="shared" si="11"/>
        <v>0.908190016778524</v>
      </c>
    </row>
    <row r="11" spans="1:37">
      <c r="A11" s="2" t="s">
        <v>48</v>
      </c>
      <c r="B11" s="33">
        <v>52.5733386766574</v>
      </c>
      <c r="C11" s="33">
        <v>322.32406303379</v>
      </c>
      <c r="D11" s="33">
        <v>7.46654607476904</v>
      </c>
      <c r="E11" s="33">
        <v>20.2370828176193</v>
      </c>
      <c r="F11" s="33">
        <v>23.7805326761965</v>
      </c>
      <c r="G11" s="33">
        <v>62.5504745470233</v>
      </c>
      <c r="H11" s="33">
        <v>12.8615591431291</v>
      </c>
      <c r="I11" s="33">
        <v>225.632496682322</v>
      </c>
      <c r="J11" s="33">
        <v>529.564436743947</v>
      </c>
      <c r="K11" s="34">
        <v>56.783</v>
      </c>
      <c r="L11" s="21">
        <v>4.45671530693718</v>
      </c>
      <c r="M11" s="21">
        <v>0.582878473765334</v>
      </c>
      <c r="N11" s="22">
        <v>1.49318253560065</v>
      </c>
      <c r="O11" s="6">
        <v>0.683739466978624</v>
      </c>
      <c r="P11" s="6">
        <v>8.93515797196514</v>
      </c>
      <c r="Q11" s="22">
        <v>1.45865608716468</v>
      </c>
      <c r="R11" s="22">
        <v>3.14851103130757</v>
      </c>
      <c r="S11" s="35">
        <v>0.04</v>
      </c>
      <c r="T11" s="35">
        <v>28.6</v>
      </c>
      <c r="U11" s="35" t="s">
        <v>38</v>
      </c>
      <c r="V11" s="20">
        <v>0.38</v>
      </c>
      <c r="W11" s="36">
        <f t="shared" si="12"/>
        <v>5.75596466552657</v>
      </c>
      <c r="X11" s="24">
        <f t="shared" si="0"/>
        <v>0.426071845136797</v>
      </c>
      <c r="Y11" s="24">
        <f t="shared" si="1"/>
        <v>0.390359825318252</v>
      </c>
      <c r="Z11" s="25">
        <f t="shared" si="2"/>
        <v>4.41493907294548</v>
      </c>
      <c r="AA11" s="26">
        <f t="shared" si="13"/>
        <v>0.127498631694071</v>
      </c>
      <c r="AB11" s="27">
        <f t="shared" si="3"/>
        <v>0.0138268153639834</v>
      </c>
      <c r="AC11" s="28">
        <f t="shared" si="4"/>
        <v>-6.45061644069513</v>
      </c>
      <c r="AD11" s="29">
        <f t="shared" si="5"/>
        <v>9.5</v>
      </c>
      <c r="AE11" s="30">
        <f t="shared" si="14"/>
        <v>-3.20083876409741</v>
      </c>
      <c r="AF11" s="31">
        <f t="shared" si="6"/>
        <v>64.9816434974496</v>
      </c>
      <c r="AG11" s="31">
        <f t="shared" si="7"/>
        <v>69.6577260143139</v>
      </c>
      <c r="AH11" s="37">
        <f t="shared" si="8"/>
        <v>-1.19905543478809</v>
      </c>
      <c r="AI11" s="37">
        <f t="shared" si="9"/>
        <v>-3.11499182136651</v>
      </c>
      <c r="AJ11" s="17">
        <f t="shared" si="10"/>
        <v>-2.71036736597721</v>
      </c>
      <c r="AK11" s="3">
        <f t="shared" si="11"/>
        <v>0.380181491002424</v>
      </c>
    </row>
    <row r="12" spans="1:37">
      <c r="A12" s="2" t="s">
        <v>49</v>
      </c>
      <c r="B12" s="33">
        <v>51.8261727794481</v>
      </c>
      <c r="C12" s="33">
        <v>365.597052541872</v>
      </c>
      <c r="D12" s="33">
        <v>7.08242803195605</v>
      </c>
      <c r="E12" s="33">
        <v>19.4352263423451</v>
      </c>
      <c r="F12" s="33">
        <v>22.72064058947</v>
      </c>
      <c r="G12" s="33">
        <v>61.3277833837874</v>
      </c>
      <c r="H12" s="33">
        <v>11.9817005188101</v>
      </c>
      <c r="I12" s="33">
        <v>200.7422062186</v>
      </c>
      <c r="J12" s="33">
        <v>506.41193649708</v>
      </c>
      <c r="K12" s="34">
        <v>59.776</v>
      </c>
      <c r="L12" s="21">
        <v>5.51321440144771</v>
      </c>
      <c r="M12" s="21">
        <v>0.714834181576944</v>
      </c>
      <c r="N12" s="22">
        <v>1.37170456608186</v>
      </c>
      <c r="O12" s="6">
        <v>0.792033590953414</v>
      </c>
      <c r="P12" s="6">
        <v>10.1495957295453</v>
      </c>
      <c r="Q12" s="22">
        <v>1.42286335059134</v>
      </c>
      <c r="R12" s="22">
        <v>3.93649792953897</v>
      </c>
      <c r="S12" s="35" t="s">
        <v>38</v>
      </c>
      <c r="T12" s="35">
        <v>12.4</v>
      </c>
      <c r="U12" s="35" t="s">
        <v>38</v>
      </c>
      <c r="V12" s="20">
        <v>0.28</v>
      </c>
      <c r="W12" s="36">
        <f t="shared" si="12"/>
        <v>6.21439571954408</v>
      </c>
      <c r="X12" s="24">
        <f t="shared" si="0"/>
        <v>0.39640101615132</v>
      </c>
      <c r="Y12" s="24">
        <f t="shared" si="1"/>
        <v>0.5211283823446</v>
      </c>
      <c r="Z12" s="25">
        <f t="shared" si="2"/>
        <v>4.9889412530515</v>
      </c>
      <c r="AA12" s="26">
        <f t="shared" si="13"/>
        <v>0.0840774251559175</v>
      </c>
      <c r="AB12" s="27">
        <f t="shared" si="3"/>
        <v>0.015080029675065</v>
      </c>
      <c r="AC12" s="28">
        <f t="shared" si="4"/>
        <v>-7.50659921775591</v>
      </c>
      <c r="AD12" s="29" t="e">
        <f t="shared" si="5"/>
        <v>#VALUE!</v>
      </c>
      <c r="AE12" s="30">
        <f t="shared" si="14"/>
        <v>-1.22172353760887</v>
      </c>
      <c r="AF12" s="31">
        <f t="shared" si="6"/>
        <v>65.0013984558349</v>
      </c>
      <c r="AG12" s="31">
        <f t="shared" si="7"/>
        <v>69.7797811459476</v>
      </c>
      <c r="AH12" s="37">
        <f t="shared" si="8"/>
        <v>-1.01375835545916</v>
      </c>
      <c r="AI12" s="37">
        <f t="shared" si="9"/>
        <v>-2.70329836973209</v>
      </c>
      <c r="AJ12" s="17">
        <f t="shared" si="10"/>
        <v>-2.74414738203523</v>
      </c>
      <c r="AK12" s="3">
        <f t="shared" si="11"/>
        <v>0.370478750997486</v>
      </c>
    </row>
    <row r="13" spans="1:37">
      <c r="A13" s="2" t="s">
        <v>50</v>
      </c>
      <c r="B13" s="33">
        <v>51.721</v>
      </c>
      <c r="C13" s="33">
        <v>345.659</v>
      </c>
      <c r="D13" s="33">
        <v>7.325</v>
      </c>
      <c r="E13" s="33">
        <v>19.845</v>
      </c>
      <c r="F13" s="33">
        <v>23.818</v>
      </c>
      <c r="G13" s="33">
        <v>62.213</v>
      </c>
      <c r="H13" s="33">
        <v>12.467</v>
      </c>
      <c r="I13" s="33">
        <v>221.173</v>
      </c>
      <c r="J13" s="33">
        <v>513.012</v>
      </c>
      <c r="K13" s="34">
        <v>59.773</v>
      </c>
      <c r="L13" s="21">
        <v>5.443535683</v>
      </c>
      <c r="M13" s="21">
        <v>0.702713571325964</v>
      </c>
      <c r="N13" s="22">
        <v>1.56376425357686</v>
      </c>
      <c r="O13" s="6">
        <v>0.763158553764738</v>
      </c>
      <c r="P13" s="6">
        <v>9.78102948193592</v>
      </c>
      <c r="Q13" s="22">
        <v>1.437</v>
      </c>
      <c r="R13" s="22">
        <v>3.142</v>
      </c>
      <c r="S13" s="35">
        <v>0.04</v>
      </c>
      <c r="T13" s="35">
        <v>15</v>
      </c>
      <c r="U13" s="35" t="s">
        <v>38</v>
      </c>
      <c r="V13" s="20">
        <v>0.28</v>
      </c>
      <c r="W13" s="36">
        <f t="shared" si="12"/>
        <v>6.33922418503296</v>
      </c>
      <c r="X13" s="24">
        <f t="shared" si="0"/>
        <v>0.431126367414408</v>
      </c>
      <c r="Y13" s="24">
        <f t="shared" si="1"/>
        <v>0.449373087867061</v>
      </c>
      <c r="Z13" s="25">
        <f t="shared" si="2"/>
        <v>4.79449747332959</v>
      </c>
      <c r="AA13" s="26">
        <f t="shared" si="13"/>
        <v>0.101176871497519</v>
      </c>
      <c r="AB13" s="27">
        <f t="shared" si="3"/>
        <v>0.0157482827960504</v>
      </c>
      <c r="AC13" s="28">
        <f t="shared" si="4"/>
        <v>-6.71727955934829</v>
      </c>
      <c r="AD13" s="29">
        <f t="shared" si="5"/>
        <v>7</v>
      </c>
      <c r="AE13" s="30">
        <f t="shared" si="14"/>
        <v>-1.53358090042594</v>
      </c>
      <c r="AF13" s="31">
        <f t="shared" si="6"/>
        <v>66.6580655494264</v>
      </c>
      <c r="AG13" s="31">
        <f t="shared" si="7"/>
        <v>71.6917484715601</v>
      </c>
      <c r="AH13" s="37">
        <f t="shared" si="8"/>
        <v>-1.07413810478657</v>
      </c>
      <c r="AI13" s="37">
        <f t="shared" si="9"/>
        <v>-2.79947074415048</v>
      </c>
      <c r="AJ13" s="17">
        <f t="shared" si="10"/>
        <v>-2.70921501706485</v>
      </c>
      <c r="AK13" s="3">
        <f t="shared" si="11"/>
        <v>0.382846028965007</v>
      </c>
    </row>
    <row r="14" spans="1:37">
      <c r="A14" s="2" t="s">
        <v>51</v>
      </c>
      <c r="B14" s="33">
        <v>62.6378517713988</v>
      </c>
      <c r="C14" s="33">
        <v>474.906456396254</v>
      </c>
      <c r="D14" s="33">
        <v>10.2533326847543</v>
      </c>
      <c r="E14" s="33">
        <v>23.9705708634792</v>
      </c>
      <c r="F14" s="33">
        <v>25.3265181573566</v>
      </c>
      <c r="G14" s="33">
        <v>60.589120835006</v>
      </c>
      <c r="H14" s="33">
        <v>14.5788107506365</v>
      </c>
      <c r="I14" s="33">
        <v>216.486925290332</v>
      </c>
      <c r="J14" s="33">
        <v>597.525393337171</v>
      </c>
      <c r="K14" s="34">
        <v>51.102</v>
      </c>
      <c r="L14" s="21">
        <v>5.39160899564992</v>
      </c>
      <c r="M14" s="21">
        <v>0.741302998273297</v>
      </c>
      <c r="N14" s="22">
        <v>1.35705907932854</v>
      </c>
      <c r="O14" s="6">
        <v>0.588807136515373</v>
      </c>
      <c r="P14" s="6">
        <v>9.6533842908284</v>
      </c>
      <c r="Q14" s="22">
        <v>1.33252149803347</v>
      </c>
      <c r="R14" s="22">
        <v>2.96155025853469</v>
      </c>
      <c r="S14" s="35" t="s">
        <v>38</v>
      </c>
      <c r="T14" s="35">
        <v>15</v>
      </c>
      <c r="U14" s="35" t="s">
        <v>38</v>
      </c>
      <c r="V14" s="20">
        <v>0.27</v>
      </c>
      <c r="W14" s="36">
        <f t="shared" si="12"/>
        <v>6.77576755595264</v>
      </c>
      <c r="X14" s="24">
        <f t="shared" si="0"/>
        <v>0.362305816128174</v>
      </c>
      <c r="Y14" s="24">
        <f t="shared" si="1"/>
        <v>0.546256982886911</v>
      </c>
      <c r="Z14" s="25">
        <f t="shared" si="2"/>
        <v>3.50522418282773</v>
      </c>
      <c r="AA14" s="26">
        <f t="shared" si="13"/>
        <v>0.0843327528532685</v>
      </c>
      <c r="AB14" s="27">
        <f t="shared" si="3"/>
        <v>0.0113529915692518</v>
      </c>
      <c r="AC14" s="28">
        <f t="shared" si="4"/>
        <v>-7.16987475472911</v>
      </c>
      <c r="AD14" s="29" t="e">
        <f t="shared" si="5"/>
        <v>#VALUE!</v>
      </c>
      <c r="AE14" s="30">
        <f t="shared" si="14"/>
        <v>-1.55385920088682</v>
      </c>
      <c r="AF14" s="31">
        <f t="shared" si="6"/>
        <v>68.6446173033008</v>
      </c>
      <c r="AG14" s="31">
        <f t="shared" si="7"/>
        <v>72.7571504157818</v>
      </c>
      <c r="AH14" s="37">
        <f t="shared" si="8"/>
        <v>-1.31459619129623</v>
      </c>
      <c r="AI14" s="37">
        <f t="shared" si="9"/>
        <v>-3.43519066936845</v>
      </c>
      <c r="AJ14" s="17">
        <f t="shared" si="10"/>
        <v>-2.33783215667244</v>
      </c>
      <c r="AK14" s="3">
        <f t="shared" si="11"/>
        <v>0.41800438442282</v>
      </c>
    </row>
    <row r="15" ht="15.5" spans="1:37">
      <c r="A15" s="2" t="s">
        <v>52</v>
      </c>
      <c r="B15" s="33">
        <v>70.7474914873254</v>
      </c>
      <c r="C15" s="33">
        <v>453.671458328469</v>
      </c>
      <c r="D15" s="33">
        <v>10.8971351393936</v>
      </c>
      <c r="E15" s="33">
        <v>27.5739694635282</v>
      </c>
      <c r="F15" s="33">
        <v>29.5151370251085</v>
      </c>
      <c r="G15" s="33">
        <v>102.330974842767</v>
      </c>
      <c r="H15" s="33">
        <v>17.0385808719857</v>
      </c>
      <c r="I15" s="33">
        <v>259.040166801346</v>
      </c>
      <c r="J15" s="33">
        <v>687.127559311903</v>
      </c>
      <c r="K15" s="34">
        <v>51.102</v>
      </c>
      <c r="L15" s="21">
        <v>4.38331994474166</v>
      </c>
      <c r="M15" s="21">
        <v>0.539523416261563</v>
      </c>
      <c r="N15" s="22">
        <v>1.86736378077648</v>
      </c>
      <c r="O15" s="6">
        <v>0.76675808096436</v>
      </c>
      <c r="P15" s="6">
        <v>8.50407571086537</v>
      </c>
      <c r="Q15" s="22">
        <v>1.38743086030303</v>
      </c>
      <c r="R15" s="22">
        <v>3.58055675593877</v>
      </c>
      <c r="S15" s="35">
        <v>0.03</v>
      </c>
      <c r="T15" s="35">
        <v>15.1</v>
      </c>
      <c r="U15" s="35" t="s">
        <v>38</v>
      </c>
      <c r="V15" s="20">
        <v>0.4</v>
      </c>
      <c r="W15" s="36">
        <f t="shared" si="12"/>
        <v>5.59790492650171</v>
      </c>
      <c r="X15" s="24">
        <f t="shared" si="0"/>
        <v>0.376989924637504</v>
      </c>
      <c r="Y15" s="24">
        <f t="shared" si="1"/>
        <v>0.288922502308158</v>
      </c>
      <c r="Z15" s="25">
        <f t="shared" si="2"/>
        <v>2.99919344128126</v>
      </c>
      <c r="AA15" s="26">
        <f t="shared" si="13"/>
        <v>0.180994087697952</v>
      </c>
      <c r="AB15" s="27">
        <f t="shared" si="3"/>
        <v>0.00966188166408305</v>
      </c>
      <c r="AC15" s="28">
        <f t="shared" si="4"/>
        <v>-5.35438290230904</v>
      </c>
      <c r="AD15" s="29">
        <f t="shared" si="5"/>
        <v>13.3333333333333</v>
      </c>
      <c r="AE15" s="30">
        <f t="shared" si="14"/>
        <v>-1.7756191870102</v>
      </c>
      <c r="AF15" s="31">
        <f t="shared" si="6"/>
        <v>62.3156699644191</v>
      </c>
      <c r="AG15" s="31">
        <f t="shared" si="7"/>
        <v>67.4303401163096</v>
      </c>
      <c r="AH15" s="37">
        <f t="shared" si="8"/>
        <v>-1.71658676732866</v>
      </c>
      <c r="AI15" s="37">
        <f t="shared" si="9"/>
        <v>-4.40430631032188</v>
      </c>
      <c r="AJ15" s="17">
        <f t="shared" si="10"/>
        <v>-2.53038703391381</v>
      </c>
      <c r="AK15" s="3">
        <f t="shared" si="11"/>
        <v>0.288428181891738</v>
      </c>
    </row>
    <row r="16" spans="1:37">
      <c r="A16" s="2" t="s">
        <v>53</v>
      </c>
      <c r="B16" s="33">
        <v>59.4372351971568</v>
      </c>
      <c r="C16" s="33">
        <v>370.313151734277</v>
      </c>
      <c r="D16" s="33">
        <v>9.25077202715271</v>
      </c>
      <c r="E16" s="33">
        <v>22.9195541192512</v>
      </c>
      <c r="F16" s="33">
        <v>24.4485267413391</v>
      </c>
      <c r="G16" s="33">
        <v>87.4061895551257</v>
      </c>
      <c r="H16" s="33">
        <v>13.6210455120788</v>
      </c>
      <c r="I16" s="33">
        <v>221.573620681926</v>
      </c>
      <c r="J16" s="33">
        <v>581.499546348097</v>
      </c>
      <c r="K16" s="34">
        <v>68.136</v>
      </c>
      <c r="L16" s="21">
        <v>5.35922049422287</v>
      </c>
      <c r="M16" s="21">
        <v>0.746533872366237</v>
      </c>
      <c r="N16" s="22">
        <v>1.39230727362917</v>
      </c>
      <c r="O16" s="6">
        <v>0.618413394796124</v>
      </c>
      <c r="P16" s="6">
        <v>9.81644180850384</v>
      </c>
      <c r="Q16" s="22">
        <v>1.37645525374385</v>
      </c>
      <c r="R16" s="22">
        <v>2.9359801880373</v>
      </c>
      <c r="S16" s="35">
        <v>0.03</v>
      </c>
      <c r="T16" s="35">
        <v>25.8</v>
      </c>
      <c r="U16" s="35" t="s">
        <v>38</v>
      </c>
      <c r="V16" s="20">
        <v>0.31</v>
      </c>
      <c r="W16" s="36">
        <f t="shared" si="12"/>
        <v>6.71023544803761</v>
      </c>
      <c r="X16" s="24">
        <f t="shared" si="0"/>
        <v>0.381038337989154</v>
      </c>
      <c r="Y16" s="24">
        <f t="shared" si="1"/>
        <v>0.536184710448529</v>
      </c>
      <c r="Z16" s="25">
        <f t="shared" si="2"/>
        <v>5.00225918337757</v>
      </c>
      <c r="AA16" s="26">
        <f t="shared" si="13"/>
        <v>0.0844898135958517</v>
      </c>
      <c r="AB16" s="27">
        <f t="shared" si="3"/>
        <v>0.0144721311385355</v>
      </c>
      <c r="AC16" s="28">
        <f t="shared" si="4"/>
        <v>-7.09527321892998</v>
      </c>
      <c r="AD16" s="29">
        <f t="shared" si="5"/>
        <v>10.3333333333333</v>
      </c>
      <c r="AE16" s="30">
        <f t="shared" si="14"/>
        <v>-2.62824356353336</v>
      </c>
      <c r="AF16" s="31">
        <f t="shared" si="6"/>
        <v>68.6476927389819</v>
      </c>
      <c r="AG16" s="31">
        <f t="shared" si="7"/>
        <v>72.9040300825001</v>
      </c>
      <c r="AH16" s="37">
        <f t="shared" si="8"/>
        <v>-1.2360773719489</v>
      </c>
      <c r="AI16" s="37">
        <f t="shared" si="9"/>
        <v>-3.20551704872392</v>
      </c>
      <c r="AJ16" s="17">
        <f t="shared" si="10"/>
        <v>-2.47758284951549</v>
      </c>
      <c r="AK16" s="3">
        <f t="shared" si="11"/>
        <v>0.279711618430864</v>
      </c>
    </row>
    <row r="17" spans="1:37">
      <c r="A17" s="2" t="s">
        <v>54</v>
      </c>
      <c r="B17" s="33">
        <v>67.8669048507707</v>
      </c>
      <c r="C17" s="33">
        <v>404.371719635949</v>
      </c>
      <c r="D17" s="33">
        <v>8.58231162653651</v>
      </c>
      <c r="E17" s="33">
        <v>25.7639150067821</v>
      </c>
      <c r="F17" s="33">
        <v>30.7320792707147</v>
      </c>
      <c r="G17" s="33">
        <v>87.4024640657084</v>
      </c>
      <c r="H17" s="33">
        <v>18.9492752951393</v>
      </c>
      <c r="I17" s="33">
        <v>235.091035372891</v>
      </c>
      <c r="J17" s="33">
        <v>564.57506908646</v>
      </c>
      <c r="K17" s="34">
        <v>65.304</v>
      </c>
      <c r="L17" s="21">
        <v>4.57987911270356</v>
      </c>
      <c r="M17" s="21">
        <v>0.836131745676984</v>
      </c>
      <c r="N17" s="22">
        <v>1.28240119925474</v>
      </c>
      <c r="O17" s="6">
        <v>0.372202140472389</v>
      </c>
      <c r="P17" s="6">
        <v>10.6919984326843</v>
      </c>
      <c r="Q17" s="22">
        <v>1.23982683913203</v>
      </c>
      <c r="R17" s="22">
        <v>3.10765482083047</v>
      </c>
      <c r="S17" s="35">
        <v>0.04</v>
      </c>
      <c r="T17" s="35">
        <v>24.2</v>
      </c>
      <c r="U17" s="35" t="s">
        <v>38</v>
      </c>
      <c r="V17" s="20">
        <v>0.33</v>
      </c>
      <c r="W17" s="36">
        <f t="shared" si="12"/>
        <v>6.90014415596845</v>
      </c>
      <c r="X17" s="24">
        <f t="shared" si="0"/>
        <v>0.416403501049545</v>
      </c>
      <c r="Y17" s="24">
        <f t="shared" si="1"/>
        <v>0.652004806423214</v>
      </c>
      <c r="Z17" s="25">
        <f t="shared" si="2"/>
        <v>3.44625316709348</v>
      </c>
      <c r="AA17" s="26">
        <f t="shared" si="13"/>
        <v>0.0637915552473825</v>
      </c>
      <c r="AB17" s="27">
        <f t="shared" si="3"/>
        <v>0.0113259134858065</v>
      </c>
      <c r="AC17" s="28">
        <f t="shared" si="4"/>
        <v>-7.20870429790746</v>
      </c>
      <c r="AD17" s="29">
        <f t="shared" si="5"/>
        <v>8.25</v>
      </c>
      <c r="AE17" s="30">
        <f t="shared" si="14"/>
        <v>-2.26337481737962</v>
      </c>
      <c r="AF17" s="31">
        <f t="shared" si="6"/>
        <v>72.2365285278191</v>
      </c>
      <c r="AG17" s="31">
        <f t="shared" si="7"/>
        <v>74.7749682350936</v>
      </c>
      <c r="AH17" s="37">
        <f t="shared" si="8"/>
        <v>-1.27569413663378</v>
      </c>
      <c r="AI17" s="37">
        <f t="shared" si="9"/>
        <v>-3.36041368584006</v>
      </c>
      <c r="AJ17" s="17">
        <f t="shared" si="10"/>
        <v>-3.00197850275211</v>
      </c>
      <c r="AK17" s="3">
        <f t="shared" si="11"/>
        <v>0.351615707854764</v>
      </c>
    </row>
    <row r="18" spans="1:37">
      <c r="A18" s="2" t="s">
        <v>55</v>
      </c>
      <c r="B18" s="33">
        <v>66.3355674516035</v>
      </c>
      <c r="C18" s="33">
        <v>406.589194122405</v>
      </c>
      <c r="D18" s="33">
        <v>8.39593956441256</v>
      </c>
      <c r="E18" s="33">
        <v>29.2911562733035</v>
      </c>
      <c r="F18" s="33">
        <v>25.6993153294157</v>
      </c>
      <c r="G18" s="33">
        <v>103.023395320936</v>
      </c>
      <c r="H18" s="33">
        <v>15.2965241620052</v>
      </c>
      <c r="I18" s="33">
        <v>145.397599963079</v>
      </c>
      <c r="J18" s="33">
        <v>872.211807816728</v>
      </c>
      <c r="K18" s="34">
        <v>70.562</v>
      </c>
      <c r="L18" s="21">
        <v>5.97746103143195</v>
      </c>
      <c r="M18" s="21">
        <v>0.378709631528725</v>
      </c>
      <c r="N18" s="22">
        <v>1.00585980714361</v>
      </c>
      <c r="O18" s="6">
        <v>0.348199796047553</v>
      </c>
      <c r="P18" s="6">
        <v>8.61516223637004</v>
      </c>
      <c r="Q18" s="22">
        <v>1.17868380704769</v>
      </c>
      <c r="R18" s="22">
        <v>3.85350170330076</v>
      </c>
      <c r="S18" s="35">
        <v>0.03</v>
      </c>
      <c r="T18" s="35">
        <v>35.7</v>
      </c>
      <c r="U18" s="35" t="s">
        <v>38</v>
      </c>
      <c r="V18" s="20">
        <v>0.16</v>
      </c>
      <c r="W18" s="36">
        <f t="shared" si="12"/>
        <v>3.87869140549143</v>
      </c>
      <c r="X18" s="36">
        <f t="shared" si="0"/>
        <v>0.166699875718296</v>
      </c>
      <c r="Y18" s="36">
        <f t="shared" si="1"/>
        <v>0.376503394249508</v>
      </c>
      <c r="Z18" s="36">
        <f t="shared" si="2"/>
        <v>4.61294338849005</v>
      </c>
      <c r="AA18" s="26">
        <f t="shared" si="13"/>
        <v>0.137100967025985</v>
      </c>
      <c r="AB18" s="27">
        <f t="shared" si="3"/>
        <v>0.0147014753904956</v>
      </c>
      <c r="AC18" s="28">
        <f t="shared" si="4"/>
        <v>-10.5394665375504</v>
      </c>
      <c r="AD18" s="29">
        <f t="shared" si="5"/>
        <v>5.33333333333333</v>
      </c>
      <c r="AE18" s="30">
        <f t="shared" si="14"/>
        <v>-4.1438569606139</v>
      </c>
      <c r="AF18" s="31">
        <f t="shared" si="6"/>
        <v>65.580805126601</v>
      </c>
      <c r="AG18" s="31">
        <f t="shared" si="7"/>
        <v>68.014563623468</v>
      </c>
      <c r="AH18" s="37">
        <f t="shared" si="8"/>
        <v>-1.79997570648875</v>
      </c>
      <c r="AI18" s="37">
        <f t="shared" si="9"/>
        <v>-4.07639796718636</v>
      </c>
      <c r="AJ18" s="17">
        <f t="shared" si="10"/>
        <v>-3.48872881332524</v>
      </c>
      <c r="AK18" s="3">
        <f t="shared" si="11"/>
        <v>0.249451255701269</v>
      </c>
    </row>
    <row r="19" spans="1:37">
      <c r="A19" s="2" t="s">
        <v>56</v>
      </c>
      <c r="B19" s="33">
        <v>73.0775539323177</v>
      </c>
      <c r="C19" s="33">
        <v>449.517514093009</v>
      </c>
      <c r="D19" s="33">
        <v>9.95065023404872</v>
      </c>
      <c r="E19" s="33">
        <v>29.4118461895582</v>
      </c>
      <c r="F19" s="33">
        <v>24.7572584930319</v>
      </c>
      <c r="G19" s="33">
        <v>86.030412164866</v>
      </c>
      <c r="H19" s="33">
        <v>16.7449228970665</v>
      </c>
      <c r="I19" s="33">
        <v>132.180395387889</v>
      </c>
      <c r="J19" s="33">
        <v>575.001513502716</v>
      </c>
      <c r="K19" s="34">
        <v>57.871</v>
      </c>
      <c r="L19" s="21">
        <v>3.93864500196306</v>
      </c>
      <c r="M19" s="21">
        <v>0.815727394835816</v>
      </c>
      <c r="N19" s="22">
        <v>0.546186440507903</v>
      </c>
      <c r="O19" s="6">
        <v>0.175765880052266</v>
      </c>
      <c r="P19" s="6">
        <v>8.93475700386147</v>
      </c>
      <c r="Q19" s="22">
        <v>1.18668214665726</v>
      </c>
      <c r="R19" s="22">
        <v>4.07207873534625</v>
      </c>
      <c r="S19" s="35">
        <v>0.05</v>
      </c>
      <c r="T19" s="35">
        <v>33.8</v>
      </c>
      <c r="U19" s="35" t="s">
        <v>38</v>
      </c>
      <c r="V19" s="20">
        <v>0.72</v>
      </c>
      <c r="W19" s="36">
        <f t="shared" si="12"/>
        <v>8.05572513858556</v>
      </c>
      <c r="X19" s="36">
        <f t="shared" si="0"/>
        <v>0.229878343419812</v>
      </c>
      <c r="Y19" s="36">
        <f t="shared" si="1"/>
        <v>1.4934962392645</v>
      </c>
      <c r="Z19" s="36">
        <f t="shared" si="2"/>
        <v>3.45603263483155</v>
      </c>
      <c r="AA19" s="26">
        <f t="shared" si="13"/>
        <v>0.0333262152581127</v>
      </c>
      <c r="AB19" s="27">
        <f t="shared" si="3"/>
        <v>0.00876193892002196</v>
      </c>
      <c r="AC19" s="28">
        <f t="shared" si="4"/>
        <v>-9.45243500120222</v>
      </c>
      <c r="AD19" s="29">
        <f t="shared" si="5"/>
        <v>14.4</v>
      </c>
      <c r="AE19" s="30">
        <f t="shared" si="14"/>
        <v>-3.78297921089428</v>
      </c>
      <c r="AF19" s="31">
        <f t="shared" si="6"/>
        <v>66.7558336733645</v>
      </c>
      <c r="AG19" s="31">
        <f t="shared" si="7"/>
        <v>67.9606824785278</v>
      </c>
      <c r="AH19" s="37">
        <f t="shared" si="8"/>
        <v>-1.74274212356782</v>
      </c>
      <c r="AI19" s="37">
        <f t="shared" si="9"/>
        <v>-4.33006927563639</v>
      </c>
      <c r="AJ19" s="17">
        <f t="shared" si="10"/>
        <v>-2.95577128104834</v>
      </c>
      <c r="AK19" s="3">
        <f t="shared" si="11"/>
        <v>0.287773333522893</v>
      </c>
    </row>
    <row r="20" spans="1:37">
      <c r="A20" s="2" t="s">
        <v>57</v>
      </c>
      <c r="B20" s="33">
        <v>63.4935369796407</v>
      </c>
      <c r="C20" s="33">
        <v>392.449713983593</v>
      </c>
      <c r="D20" s="33">
        <v>10.3682055586334</v>
      </c>
      <c r="E20" s="33">
        <v>25.238810848678</v>
      </c>
      <c r="F20" s="33">
        <v>24.1502677760108</v>
      </c>
      <c r="G20" s="33">
        <v>90.7874728457639</v>
      </c>
      <c r="H20" s="33">
        <v>17.5382587708888</v>
      </c>
      <c r="I20" s="33">
        <v>127.641053732461</v>
      </c>
      <c r="J20" s="33">
        <v>522.98338258355</v>
      </c>
      <c r="K20" s="34">
        <v>91.345</v>
      </c>
      <c r="L20" s="21">
        <v>3.67560819925308</v>
      </c>
      <c r="M20" s="21">
        <v>0.796245616724549</v>
      </c>
      <c r="N20" s="22">
        <v>0.488358980963057</v>
      </c>
      <c r="O20" s="6">
        <v>0.122531855143075</v>
      </c>
      <c r="P20" s="6">
        <v>9.17959041553265</v>
      </c>
      <c r="Q20" s="22">
        <v>1.20689841881547</v>
      </c>
      <c r="R20" s="22">
        <v>4.39251719459088</v>
      </c>
      <c r="S20" s="35">
        <v>0.04</v>
      </c>
      <c r="T20" s="35">
        <v>36.6</v>
      </c>
      <c r="U20" s="35" t="s">
        <v>38</v>
      </c>
      <c r="V20" s="20">
        <v>0.66</v>
      </c>
      <c r="W20" s="36">
        <f t="shared" si="12"/>
        <v>7.65360577120054</v>
      </c>
      <c r="X20" s="36">
        <f t="shared" si="0"/>
        <v>0.244063306757303</v>
      </c>
      <c r="Y20" s="36">
        <f t="shared" si="1"/>
        <v>1.63045146657144</v>
      </c>
      <c r="Z20" s="36">
        <f t="shared" si="2"/>
        <v>5.20832775894609</v>
      </c>
      <c r="AA20" s="26">
        <f t="shared" si="13"/>
        <v>0.0297126710260301</v>
      </c>
      <c r="AB20" s="27">
        <f t="shared" si="3"/>
        <v>0.0093658067983883</v>
      </c>
      <c r="AC20" s="28">
        <f t="shared" si="4"/>
        <v>-10.0071248677812</v>
      </c>
      <c r="AD20" s="29">
        <f t="shared" si="5"/>
        <v>16.5</v>
      </c>
      <c r="AE20" s="30">
        <f t="shared" si="14"/>
        <v>-3.98710599746037</v>
      </c>
      <c r="AF20" s="31">
        <f t="shared" si="6"/>
        <v>66.5053945867457</v>
      </c>
      <c r="AG20" s="31">
        <f t="shared" si="7"/>
        <v>67.3120896912085</v>
      </c>
      <c r="AH20" s="37">
        <f t="shared" si="8"/>
        <v>-1.45559036793923</v>
      </c>
      <c r="AI20" s="37">
        <f t="shared" si="9"/>
        <v>-3.66184371395609</v>
      </c>
      <c r="AJ20" s="17">
        <f t="shared" si="10"/>
        <v>-2.43425062378919</v>
      </c>
      <c r="AK20" s="3">
        <f t="shared" si="11"/>
        <v>0.266008811777798</v>
      </c>
    </row>
    <row r="21" spans="1:37">
      <c r="A21" s="2" t="s">
        <v>58</v>
      </c>
      <c r="B21" s="38">
        <v>65.9637974426909</v>
      </c>
      <c r="C21" s="38">
        <v>404.267532201881</v>
      </c>
      <c r="D21" s="38">
        <v>10.7960329551308</v>
      </c>
      <c r="E21" s="38">
        <v>27.0461852708042</v>
      </c>
      <c r="F21" s="38">
        <v>24.3814247363533</v>
      </c>
      <c r="G21" s="38">
        <v>82.4105996699065</v>
      </c>
      <c r="H21" s="38">
        <v>16.7295255354569</v>
      </c>
      <c r="I21" s="38">
        <v>143.930915354281</v>
      </c>
      <c r="J21" s="38">
        <v>596.840727121971</v>
      </c>
      <c r="K21" s="34">
        <v>93.824</v>
      </c>
      <c r="L21" s="22">
        <v>3.81875978313723</v>
      </c>
      <c r="M21" s="22">
        <v>0.853969182942291</v>
      </c>
      <c r="N21" s="22">
        <v>0.436774919207484</v>
      </c>
      <c r="O21" s="6">
        <v>0.144785187419209</v>
      </c>
      <c r="P21" s="6">
        <v>7.22925091166482</v>
      </c>
      <c r="Q21" s="22">
        <v>1.03516038138503</v>
      </c>
      <c r="R21" s="22">
        <v>3.78018505649938</v>
      </c>
      <c r="S21" s="35">
        <v>0.05</v>
      </c>
      <c r="T21" s="35">
        <v>33.1</v>
      </c>
      <c r="U21" s="35" t="s">
        <v>38</v>
      </c>
      <c r="V21" s="20">
        <v>1.01</v>
      </c>
      <c r="W21" s="36">
        <f t="shared" si="12"/>
        <v>10.4229640034679</v>
      </c>
      <c r="X21" s="36">
        <f t="shared" si="0"/>
        <v>0.24115464782092</v>
      </c>
      <c r="Y21" s="36">
        <f t="shared" si="1"/>
        <v>1.95516991793346</v>
      </c>
      <c r="Z21" s="36">
        <f t="shared" si="2"/>
        <v>5.6082881610209</v>
      </c>
      <c r="AA21" s="26">
        <f t="shared" si="13"/>
        <v>0.0314626333381573</v>
      </c>
      <c r="AB21" s="27">
        <f t="shared" si="3"/>
        <v>0.00944612040036456</v>
      </c>
      <c r="AC21" s="28">
        <f t="shared" si="4"/>
        <v>-8.55941210686242</v>
      </c>
      <c r="AD21" s="29">
        <f t="shared" si="5"/>
        <v>20.2</v>
      </c>
      <c r="AE21" s="30">
        <f t="shared" si="14"/>
        <v>-4.5786209946858</v>
      </c>
      <c r="AF21" s="31">
        <f t="shared" si="6"/>
        <v>64.2203320322264</v>
      </c>
      <c r="AG21" s="31">
        <f t="shared" si="7"/>
        <v>65.3551254337725</v>
      </c>
      <c r="AH21" s="37">
        <f t="shared" si="8"/>
        <v>-1.98064347852069</v>
      </c>
      <c r="AI21" s="37">
        <f t="shared" si="9"/>
        <v>-4.83065407986983</v>
      </c>
      <c r="AJ21" s="17">
        <f t="shared" si="10"/>
        <v>-2.50519662020395</v>
      </c>
      <c r="AK21" s="3">
        <f t="shared" si="11"/>
        <v>0.295853019320481</v>
      </c>
    </row>
    <row r="22" ht="15.5" spans="1:37">
      <c r="A22" s="2" t="s">
        <v>59</v>
      </c>
      <c r="B22" s="33">
        <v>66.8379879887197</v>
      </c>
      <c r="C22" s="33">
        <v>410.70890495396</v>
      </c>
      <c r="D22" s="33">
        <v>9.72702435706068</v>
      </c>
      <c r="E22" s="33">
        <v>26.7984195935262</v>
      </c>
      <c r="F22" s="33">
        <v>24.4282787626156</v>
      </c>
      <c r="G22" s="33">
        <v>93.6293328363772</v>
      </c>
      <c r="H22" s="33">
        <v>16.3927058589274</v>
      </c>
      <c r="I22" s="33">
        <v>128.790022056907</v>
      </c>
      <c r="J22" s="33">
        <v>583.381832194664</v>
      </c>
      <c r="K22" s="34">
        <v>99.874</v>
      </c>
      <c r="L22" s="21">
        <v>3.41168429813877</v>
      </c>
      <c r="M22" s="21">
        <v>0.78098299019488</v>
      </c>
      <c r="N22" s="22">
        <v>0.515393576745424</v>
      </c>
      <c r="O22" s="6">
        <v>0.125301133176224</v>
      </c>
      <c r="P22" s="6">
        <v>8.8655865483897</v>
      </c>
      <c r="Q22" s="22">
        <v>1.23059402639646</v>
      </c>
      <c r="R22" s="22">
        <v>4.25025129767946</v>
      </c>
      <c r="S22" s="35">
        <v>0.04</v>
      </c>
      <c r="T22" s="35">
        <v>33.8</v>
      </c>
      <c r="U22" s="35" t="s">
        <v>38</v>
      </c>
      <c r="V22" s="20">
        <v>0.62</v>
      </c>
      <c r="W22" s="36">
        <f t="shared" si="12"/>
        <v>7.77278113124294</v>
      </c>
      <c r="X22" s="36">
        <f t="shared" si="0"/>
        <v>0.220764540390988</v>
      </c>
      <c r="Y22" s="36">
        <f t="shared" si="1"/>
        <v>1.51531378238469</v>
      </c>
      <c r="Z22" s="36">
        <f t="shared" si="2"/>
        <v>6.09258781677028</v>
      </c>
      <c r="AA22" s="26">
        <f t="shared" si="13"/>
        <v>0.0331026549344978</v>
      </c>
      <c r="AB22" s="27">
        <f t="shared" si="3"/>
        <v>0.00830681842294414</v>
      </c>
      <c r="AC22" s="28">
        <f t="shared" si="4"/>
        <v>-9.47045107079124</v>
      </c>
      <c r="AD22" s="29">
        <f t="shared" si="5"/>
        <v>15.5</v>
      </c>
      <c r="AE22" s="30">
        <f t="shared" si="14"/>
        <v>-3.81249450507471</v>
      </c>
      <c r="AF22" s="31">
        <f t="shared" si="6"/>
        <v>66.0534603955206</v>
      </c>
      <c r="AG22" s="31">
        <f t="shared" si="7"/>
        <v>66.8965634754784</v>
      </c>
      <c r="AH22" s="37">
        <f t="shared" si="8"/>
        <v>-1.60027749217725</v>
      </c>
      <c r="AI22" s="37">
        <f t="shared" si="9"/>
        <v>-3.99125505992898</v>
      </c>
      <c r="AJ22" s="17">
        <f t="shared" si="10"/>
        <v>-2.75504806092869</v>
      </c>
      <c r="AK22" s="3">
        <f t="shared" si="11"/>
        <v>0.260904120777037</v>
      </c>
    </row>
    <row r="23" spans="1:37">
      <c r="A23" s="2" t="s">
        <v>60</v>
      </c>
      <c r="B23" s="38">
        <v>66.6440532774268</v>
      </c>
      <c r="C23" s="38">
        <v>430.657558227491</v>
      </c>
      <c r="D23" s="38">
        <v>9.57780434468892</v>
      </c>
      <c r="E23" s="38">
        <v>26.4916908599518</v>
      </c>
      <c r="F23" s="38">
        <v>23.9280016968431</v>
      </c>
      <c r="G23" s="38">
        <v>85.4228624535316</v>
      </c>
      <c r="H23" s="38">
        <v>16.2716331427151</v>
      </c>
      <c r="I23" s="38">
        <v>126.976904663496</v>
      </c>
      <c r="J23" s="38">
        <v>587.421000709413</v>
      </c>
      <c r="K23" s="34">
        <v>90.334</v>
      </c>
      <c r="L23" s="22">
        <v>3.75871292983409</v>
      </c>
      <c r="M23" s="22">
        <v>0.906057036725398</v>
      </c>
      <c r="N23" s="22">
        <v>0.534849459486535</v>
      </c>
      <c r="O23" s="6">
        <v>0.170570121424219</v>
      </c>
      <c r="P23" s="6">
        <v>9.60907361391944</v>
      </c>
      <c r="Q23" s="22">
        <v>1.10652955735838</v>
      </c>
      <c r="R23" s="22">
        <v>4.22004301069718</v>
      </c>
      <c r="S23" s="35">
        <v>0.05</v>
      </c>
      <c r="T23" s="35">
        <v>33.3</v>
      </c>
      <c r="U23" s="35" t="s">
        <v>38</v>
      </c>
      <c r="V23" s="20">
        <v>0.78</v>
      </c>
      <c r="W23" s="36">
        <f t="shared" si="12"/>
        <v>8.31986644446363</v>
      </c>
      <c r="X23" s="36">
        <f t="shared" si="0"/>
        <v>0.216159967910833</v>
      </c>
      <c r="Y23" s="36">
        <f t="shared" si="1"/>
        <v>1.69404123095727</v>
      </c>
      <c r="Z23" s="36">
        <f t="shared" si="2"/>
        <v>5.55162467145733</v>
      </c>
      <c r="AA23" s="26">
        <f t="shared" si="13"/>
        <v>0.0273191622415692</v>
      </c>
      <c r="AB23" s="27">
        <f t="shared" si="3"/>
        <v>0.00872784619246965</v>
      </c>
      <c r="AC23" s="28">
        <f t="shared" si="4"/>
        <v>-9.27734490676302</v>
      </c>
      <c r="AD23" s="29">
        <f t="shared" si="5"/>
        <v>15.6</v>
      </c>
      <c r="AE23" s="30">
        <f t="shared" si="14"/>
        <v>-3.46547454395214</v>
      </c>
      <c r="AF23" s="31">
        <f t="shared" si="6"/>
        <v>68.3439185323382</v>
      </c>
      <c r="AG23" s="31">
        <f t="shared" si="7"/>
        <v>69.4818775662736</v>
      </c>
      <c r="AH23" s="37">
        <f t="shared" si="8"/>
        <v>-1.45955930526888</v>
      </c>
      <c r="AI23" s="37">
        <f t="shared" si="9"/>
        <v>-3.67175310236427</v>
      </c>
      <c r="AJ23" s="17">
        <f t="shared" si="10"/>
        <v>-2.76594612988121</v>
      </c>
      <c r="AK23" s="3">
        <f t="shared" si="11"/>
        <v>0.280112384548802</v>
      </c>
    </row>
    <row r="24" ht="15.5" spans="1:37">
      <c r="A24" s="2" t="s">
        <v>61</v>
      </c>
      <c r="B24" s="33">
        <v>61.5669170967259</v>
      </c>
      <c r="C24" s="33">
        <v>358.705806232843</v>
      </c>
      <c r="D24" s="33">
        <v>10.0366582908649</v>
      </c>
      <c r="E24" s="33">
        <v>25.7333254690117</v>
      </c>
      <c r="F24" s="33">
        <v>23.7703301375115</v>
      </c>
      <c r="G24" s="33">
        <v>91.9276383636989</v>
      </c>
      <c r="H24" s="33">
        <v>17.4817555860753</v>
      </c>
      <c r="I24" s="33">
        <v>102.689480807463</v>
      </c>
      <c r="J24" s="33">
        <v>486.641734687395</v>
      </c>
      <c r="K24" s="34">
        <v>109.976</v>
      </c>
      <c r="L24" s="21">
        <v>4.13120742438792</v>
      </c>
      <c r="M24" s="21">
        <v>0.844683730077832</v>
      </c>
      <c r="N24" s="22">
        <v>0.537354886222804</v>
      </c>
      <c r="O24" s="6">
        <v>0.153353736409581</v>
      </c>
      <c r="P24" s="6">
        <v>8.95256671391545</v>
      </c>
      <c r="Q24" s="22">
        <v>1.22551375023826</v>
      </c>
      <c r="R24" s="22">
        <v>3.9412131045852</v>
      </c>
      <c r="S24" s="35">
        <v>0.05</v>
      </c>
      <c r="T24" s="35">
        <v>36.8</v>
      </c>
      <c r="U24" s="35" t="s">
        <v>38</v>
      </c>
      <c r="V24" s="20">
        <v>0.91</v>
      </c>
      <c r="W24" s="36">
        <f t="shared" si="12"/>
        <v>8.32508930025189</v>
      </c>
      <c r="X24" s="36">
        <f t="shared" si="0"/>
        <v>0.21101659288106</v>
      </c>
      <c r="Y24" s="36">
        <f t="shared" si="1"/>
        <v>1.57192900210756</v>
      </c>
      <c r="Z24" s="36">
        <f t="shared" si="2"/>
        <v>6.29090136047884</v>
      </c>
      <c r="AA24" s="26">
        <f t="shared" si="13"/>
        <v>0.031600385545775</v>
      </c>
      <c r="AB24" s="27">
        <f t="shared" si="3"/>
        <v>0.0115169795208341</v>
      </c>
      <c r="AC24" s="28">
        <f t="shared" si="4"/>
        <v>-9.46701053355896</v>
      </c>
      <c r="AD24" s="29">
        <f t="shared" si="5"/>
        <v>18.2</v>
      </c>
      <c r="AE24" s="30">
        <f t="shared" si="14"/>
        <v>-4.11055300406752</v>
      </c>
      <c r="AF24" s="31">
        <f t="shared" si="6"/>
        <v>67.1773033488516</v>
      </c>
      <c r="AG24" s="31">
        <f t="shared" si="7"/>
        <v>68.2373507559561</v>
      </c>
      <c r="AH24" s="37">
        <f t="shared" si="8"/>
        <v>-1.52174518030952</v>
      </c>
      <c r="AI24" s="37">
        <f t="shared" si="9"/>
        <v>-3.64077155404108</v>
      </c>
      <c r="AJ24" s="17">
        <f t="shared" si="10"/>
        <v>-2.5639336045179</v>
      </c>
      <c r="AK24" s="3">
        <f t="shared" si="11"/>
        <v>0.258576534333097</v>
      </c>
    </row>
    <row r="25" spans="1:37"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9"/>
      <c r="M25" s="40"/>
      <c r="N25" s="40"/>
      <c r="S25" s="35"/>
      <c r="T25" s="35"/>
      <c r="U25" s="35"/>
      <c r="V25" s="20"/>
      <c r="W25" s="36"/>
      <c r="X25" s="36"/>
      <c r="Y25" s="36"/>
      <c r="Z25" s="36"/>
      <c r="AA25" s="41"/>
      <c r="AB25" s="42"/>
      <c r="AC25" s="43"/>
      <c r="AD25" s="44"/>
      <c r="AE25" s="45"/>
      <c r="AF25" s="31"/>
      <c r="AG25" s="31"/>
      <c r="AH25" s="37"/>
      <c r="AI25" s="37"/>
    </row>
    <row r="26" spans="1:37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9"/>
      <c r="M26" s="40"/>
      <c r="N26" s="40"/>
      <c r="Q26" s="40"/>
      <c r="R26" s="40"/>
      <c r="S26" s="35"/>
      <c r="T26" s="35"/>
      <c r="U26" s="35"/>
      <c r="V26" s="20"/>
      <c r="W26" s="36"/>
      <c r="X26" s="36"/>
      <c r="Y26" s="36"/>
      <c r="Z26" s="36"/>
      <c r="AA26" s="41"/>
      <c r="AB26" s="42"/>
      <c r="AC26" s="43"/>
      <c r="AD26" s="44"/>
      <c r="AE26" s="45"/>
      <c r="AF26" s="31"/>
      <c r="AG26" s="31"/>
      <c r="AH26" s="37"/>
      <c r="AI26" s="37"/>
    </row>
    <row r="27" spans="1:37">
      <c r="S27" s="35"/>
      <c r="T27" s="35"/>
      <c r="U27" s="35"/>
      <c r="V27" s="20"/>
      <c r="W27" s="36"/>
      <c r="X27" s="36"/>
      <c r="Y27" s="36"/>
      <c r="Z27" s="36"/>
      <c r="AA27" s="41"/>
    </row>
  </sheetData>
  <sortState ref="A2:AI24">
    <sortCondition ref="A2:A24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南京大学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geochemistry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</dc:creator>
  <cp:lastModifiedBy>郭</cp:lastModifiedBy>
  <dcterms:created xsi:type="dcterms:W3CDTF">2024-07-25T06:25:00Z</dcterms:created>
  <dcterms:modified xsi:type="dcterms:W3CDTF">2026-03-12T09:28:56Z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AB35E55EA72E4F21814B16C41FE91185_13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